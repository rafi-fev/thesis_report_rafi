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evglobal.sharepoint.com/sites/EXT_Abschlussarbeiten/Freigegebene Dokumente/MA RL P2X/MA_Indrajaya/00_Orga/Project Management/"/>
    </mc:Choice>
  </mc:AlternateContent>
  <xr:revisionPtr revIDLastSave="210" documentId="13_ncr:1_{025564D2-2E36-4721-99AF-D2810DA2FDA1}" xr6:coauthVersionLast="47" xr6:coauthVersionMax="47" xr10:uidLastSave="{D3DF7820-AD8C-4D37-97A9-E0737391F078}"/>
  <bookViews>
    <workbookView xWindow="-51720" yWindow="-8640" windowWidth="51840" windowHeight="21120" xr2:uid="{00000000-000D-0000-FFFF-FFFF00000000}"/>
  </bookViews>
  <sheets>
    <sheet name="ProjectSchedule" sheetId="11" r:id="rId1"/>
  </sheets>
  <definedNames>
    <definedName name="_xlnm.Print_Area" localSheetId="0">ProjectSchedule!$1:$47</definedName>
    <definedName name="_xlnm.Print_Titles" localSheetId="0">ProjectSchedule!$4:$6</definedName>
    <definedName name="task_end" localSheetId="0">ProjectSchedule!$D1</definedName>
    <definedName name="task_progress" localSheetId="0">ProjectSchedule!$B1</definedName>
    <definedName name="task_start" localSheetId="0">ProjectSchedule!$C1</definedName>
    <definedName name="today" localSheetId="0">ProjectSchedule!$C$3</definedName>
    <definedName name="valuevx">42.314159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1" l="1"/>
  <c r="C38" i="11"/>
  <c r="D38" i="11"/>
  <c r="C39" i="11" s="1"/>
  <c r="C44" i="11"/>
  <c r="D44" i="11" s="1"/>
  <c r="C45" i="11" s="1"/>
  <c r="D45" i="11" s="1"/>
  <c r="C3" i="11"/>
  <c r="D21" i="11"/>
  <c r="D37" i="11"/>
  <c r="C31" i="11"/>
  <c r="D31" i="11" s="1"/>
  <c r="C32" i="11" s="1"/>
  <c r="E32" i="11" s="1"/>
  <c r="C30" i="11"/>
  <c r="E30" i="11" s="1"/>
  <c r="C29" i="11"/>
  <c r="E29" i="11" s="1"/>
  <c r="C28" i="11"/>
  <c r="E28" i="11" s="1"/>
  <c r="D27" i="11"/>
  <c r="E41" i="11"/>
  <c r="C24" i="11"/>
  <c r="E24" i="11" s="1"/>
  <c r="E20" i="11"/>
  <c r="D15" i="11"/>
  <c r="C16" i="11" s="1"/>
  <c r="D16" i="11" s="1"/>
  <c r="E23" i="11"/>
  <c r="F5" i="11"/>
  <c r="E33" i="11"/>
  <c r="E26" i="11"/>
  <c r="E12" i="11"/>
  <c r="E34" i="11"/>
  <c r="D39" i="11" l="1"/>
  <c r="E35" i="11"/>
  <c r="E31" i="11"/>
  <c r="E27" i="11"/>
  <c r="C17" i="11"/>
  <c r="E16" i="11"/>
  <c r="E15" i="11"/>
  <c r="E14" i="11"/>
  <c r="E11" i="11"/>
  <c r="E10" i="11"/>
  <c r="E9" i="11"/>
  <c r="E8" i="11"/>
  <c r="E7" i="11"/>
  <c r="E39" i="11" l="1"/>
  <c r="C42" i="11"/>
  <c r="D42" i="11"/>
  <c r="D17" i="11"/>
  <c r="C18" i="11" s="1"/>
  <c r="D18" i="11" s="1"/>
  <c r="C19" i="11" s="1"/>
  <c r="F6" i="11"/>
  <c r="E42" i="11" l="1"/>
  <c r="E17" i="11"/>
  <c r="E18" i="11"/>
  <c r="D19" i="11"/>
  <c r="E36" i="11" l="1"/>
  <c r="E21" i="11"/>
  <c r="E19" i="11"/>
  <c r="G5" i="11"/>
  <c r="F4" i="11"/>
  <c r="E37" i="11" l="1"/>
  <c r="E38" i="11"/>
  <c r="H5" i="11"/>
  <c r="G6" i="11"/>
  <c r="I5" i="11" l="1"/>
  <c r="H6" i="11"/>
  <c r="J5" i="11" l="1"/>
  <c r="K5" i="11" s="1"/>
  <c r="I6" i="11"/>
  <c r="J6" i="11" l="1"/>
  <c r="K6" i="11" l="1"/>
  <c r="K4" i="11"/>
  <c r="L5" i="11"/>
  <c r="M5" i="11" l="1"/>
  <c r="L6" i="11"/>
  <c r="N5" i="11" l="1"/>
  <c r="M6" i="11"/>
  <c r="O5" i="11" l="1"/>
  <c r="N6" i="11"/>
  <c r="O6" i="11" l="1"/>
  <c r="P5" i="11"/>
  <c r="E22" i="11"/>
  <c r="P6" i="11" l="1"/>
  <c r="P4" i="11"/>
  <c r="Q5" i="11"/>
  <c r="Q6" i="11" l="1"/>
  <c r="R5" i="11"/>
  <c r="S5" i="11" l="1"/>
  <c r="R6" i="11"/>
  <c r="T5" i="11" l="1"/>
  <c r="S6" i="11"/>
  <c r="T6" i="11" l="1"/>
  <c r="U5" i="11"/>
  <c r="U6" i="11" l="1"/>
  <c r="U4" i="11"/>
  <c r="V5" i="11"/>
  <c r="W5" i="11" l="1"/>
  <c r="V6" i="11"/>
  <c r="W6" i="11" l="1"/>
  <c r="X5" i="11"/>
  <c r="X6" i="11" l="1"/>
  <c r="Y5" i="11"/>
  <c r="Y6" i="11" l="1"/>
  <c r="Z5" i="11"/>
  <c r="Z6" i="11" l="1"/>
  <c r="AA5" i="11"/>
  <c r="Z4" i="11"/>
  <c r="AA6" i="11" l="1"/>
  <c r="AB5" i="11"/>
  <c r="AB6" i="11" l="1"/>
  <c r="AC5" i="11"/>
  <c r="AC6" i="11" l="1"/>
  <c r="AD5" i="11"/>
  <c r="AD6" i="11" l="1"/>
  <c r="AE5" i="11"/>
  <c r="AE6" i="11" l="1"/>
  <c r="AE4" i="11"/>
  <c r="AF5" i="11"/>
  <c r="AF6" i="11" l="1"/>
  <c r="AG5" i="11"/>
  <c r="AG6" i="11" l="1"/>
  <c r="AH5" i="11"/>
  <c r="AH6" i="11" l="1"/>
  <c r="AI5" i="11"/>
  <c r="AI6" i="11" l="1"/>
  <c r="AJ5" i="11"/>
  <c r="AK5" i="11" l="1"/>
  <c r="AJ6" i="11"/>
  <c r="AJ4" i="11"/>
  <c r="AK6" i="11" l="1"/>
  <c r="AL5" i="11"/>
  <c r="AM5" i="11" l="1"/>
  <c r="AL6" i="11"/>
  <c r="AM6" i="11" l="1"/>
  <c r="AN5" i="11"/>
  <c r="AN6" i="11" l="1"/>
  <c r="AO5" i="11"/>
  <c r="AO6" i="11" l="1"/>
  <c r="AO4" i="11"/>
  <c r="AP5" i="11"/>
  <c r="AP6" i="11" l="1"/>
  <c r="AQ5" i="11"/>
  <c r="AR5" i="11" l="1"/>
  <c r="AQ6" i="11"/>
  <c r="AR6" i="11" l="1"/>
  <c r="AS5" i="11"/>
  <c r="AS6" i="11" l="1"/>
  <c r="AT5" i="11"/>
  <c r="AT6" i="11" l="1"/>
  <c r="AT4" i="11"/>
  <c r="AU5" i="11"/>
  <c r="AU6" i="11" l="1"/>
  <c r="AV5" i="11"/>
  <c r="AV6" i="11" l="1"/>
  <c r="AW5" i="11"/>
  <c r="AX5" i="11" l="1"/>
  <c r="AW6" i="11"/>
  <c r="AX6" i="11" l="1"/>
  <c r="AY5" i="11"/>
  <c r="AY6" i="11" l="1"/>
  <c r="AY4" i="11"/>
  <c r="AZ5" i="11"/>
  <c r="AZ6" i="11" l="1"/>
  <c r="BA5" i="11"/>
  <c r="BA6" i="11" l="1"/>
  <c r="BB5" i="11"/>
  <c r="BC5" i="11" l="1"/>
  <c r="BB6" i="11"/>
  <c r="BC6" i="11" l="1"/>
  <c r="BD5" i="11"/>
  <c r="BD6" i="11" l="1"/>
  <c r="BD4" i="11"/>
  <c r="BE5" i="11"/>
  <c r="BE6" i="11" l="1"/>
  <c r="BF5" i="11"/>
  <c r="BG5" i="11" l="1"/>
  <c r="BF6" i="11"/>
  <c r="BG6" i="11" l="1"/>
  <c r="BH5" i="11"/>
  <c r="BH6" i="11" l="1"/>
  <c r="BI5" i="11"/>
  <c r="BI6" i="11" l="1"/>
  <c r="BI4" i="11"/>
  <c r="BJ5" i="11"/>
  <c r="BJ6" i="11" l="1"/>
  <c r="BK5" i="11"/>
  <c r="BL5" i="11" l="1"/>
  <c r="BK6" i="11"/>
  <c r="BM5" i="11" l="1"/>
  <c r="BL6" i="11"/>
  <c r="BM6" i="11" l="1"/>
  <c r="BN5" i="11"/>
  <c r="BN6" i="11" l="1"/>
  <c r="BN4" i="11"/>
  <c r="BO5" i="11"/>
  <c r="BO6" i="11" l="1"/>
  <c r="BP5" i="11"/>
  <c r="BQ5" i="11" l="1"/>
  <c r="BP6" i="11"/>
  <c r="BQ6" i="11" l="1"/>
  <c r="BR5" i="11"/>
  <c r="BR6" i="11" l="1"/>
  <c r="BS5" i="11"/>
  <c r="BS6" i="11" l="1"/>
  <c r="BS4" i="11"/>
  <c r="BT5" i="11"/>
  <c r="BT6" i="11" l="1"/>
  <c r="BU5" i="11"/>
  <c r="BV5" i="11" l="1"/>
  <c r="BU6" i="11"/>
  <c r="BV6" i="11" l="1"/>
  <c r="BW5" i="11"/>
  <c r="BW6" i="11" l="1"/>
  <c r="BX5" i="11"/>
  <c r="BX6" i="11" l="1"/>
  <c r="BX4" i="11"/>
  <c r="BY5" i="11"/>
  <c r="BY6" i="11" l="1"/>
  <c r="BZ5" i="11"/>
  <c r="BZ6" i="11" l="1"/>
  <c r="CA5" i="11"/>
  <c r="CA6" i="11" l="1"/>
  <c r="CB5" i="11"/>
  <c r="CB6" i="11" l="1"/>
  <c r="CC5" i="11"/>
  <c r="CD5" i="11" l="1"/>
  <c r="CC6" i="11"/>
  <c r="CC4" i="11"/>
  <c r="CE5" i="11" l="1"/>
  <c r="CD6" i="11"/>
  <c r="CF5" i="11" l="1"/>
  <c r="CE6" i="11"/>
  <c r="CF6" i="11" l="1"/>
  <c r="CG5" i="11"/>
  <c r="CG6" i="11" l="1"/>
  <c r="CH5" i="11"/>
  <c r="CH4" i="11" l="1"/>
  <c r="CI5" i="11"/>
  <c r="CH6" i="11"/>
  <c r="CI6" i="11" l="1"/>
  <c r="CJ5" i="11"/>
  <c r="CJ6" i="11" l="1"/>
  <c r="CK5" i="11"/>
  <c r="CK6" i="11" l="1"/>
  <c r="CL5" i="11"/>
  <c r="CL6" i="11" l="1"/>
  <c r="CM5" i="11"/>
  <c r="CM6" i="11" l="1"/>
  <c r="CM4" i="11"/>
  <c r="CN5" i="11"/>
  <c r="CN6" i="11" l="1"/>
  <c r="CO5" i="11"/>
  <c r="CO6" i="11" l="1"/>
  <c r="CP5" i="11"/>
  <c r="CQ5" i="11" l="1"/>
  <c r="CP6" i="11"/>
  <c r="CQ6" i="11" l="1"/>
  <c r="CR5" i="11"/>
  <c r="CR6" i="11" l="1"/>
  <c r="CS5" i="11"/>
  <c r="CR4" i="11"/>
  <c r="CT5" i="11" l="1"/>
  <c r="CS6" i="11"/>
  <c r="CU5" i="11" l="1"/>
  <c r="CT6" i="11"/>
  <c r="CV5" i="11" l="1"/>
  <c r="CU6" i="11"/>
  <c r="CV6" i="11" l="1"/>
  <c r="CW5" i="11"/>
  <c r="CW6" i="11" l="1"/>
  <c r="CW4" i="11"/>
  <c r="CX5" i="11"/>
  <c r="CX6" i="11" l="1"/>
  <c r="CY5" i="11"/>
  <c r="CY6" i="11" l="1"/>
  <c r="CZ5" i="11"/>
  <c r="CZ6" i="11" l="1"/>
  <c r="DA5" i="11"/>
  <c r="DA6" i="11" l="1"/>
  <c r="DB5" i="11"/>
  <c r="DB6" i="11" l="1"/>
  <c r="DB4" i="11"/>
  <c r="DC5" i="11"/>
  <c r="DC6" i="11" l="1"/>
  <c r="DD5" i="11"/>
  <c r="DD6" i="11" l="1"/>
  <c r="DE5" i="11"/>
  <c r="DE6" i="11" l="1"/>
  <c r="DF5" i="11"/>
  <c r="DF6" i="11" l="1"/>
  <c r="DG5" i="11"/>
  <c r="DG6" i="11" l="1"/>
  <c r="DG4" i="11"/>
  <c r="DH5" i="11"/>
  <c r="DH6" i="11" l="1"/>
  <c r="DI5" i="11"/>
  <c r="DI6" i="11" l="1"/>
  <c r="DJ5" i="11"/>
  <c r="DJ6" i="11" l="1"/>
  <c r="DK5" i="11"/>
  <c r="DK6" i="11" l="1"/>
  <c r="DL5" i="11"/>
  <c r="DL6" i="11" l="1"/>
  <c r="DL4" i="11"/>
  <c r="DM5" i="11"/>
  <c r="DM6" i="11" l="1"/>
  <c r="DN5" i="11"/>
  <c r="DO5" i="11" l="1"/>
  <c r="DN6" i="11"/>
  <c r="DO6" i="11" l="1"/>
  <c r="DP5" i="11"/>
  <c r="DP6" i="11" l="1"/>
  <c r="DQ5" i="11"/>
  <c r="DQ6" i="11" l="1"/>
  <c r="DQ4" i="11"/>
  <c r="DR5" i="11"/>
  <c r="DR6" i="11" l="1"/>
  <c r="DS5" i="11"/>
  <c r="DT5" i="11" l="1"/>
  <c r="DS6" i="11"/>
  <c r="DU5" i="11" l="1"/>
  <c r="DT6" i="11"/>
  <c r="DU6" i="11" l="1"/>
  <c r="DV5" i="11"/>
  <c r="DV6" i="11" l="1"/>
  <c r="DV4" i="11"/>
  <c r="DW5" i="11"/>
  <c r="DW6" i="11" l="1"/>
  <c r="DX5" i="11"/>
  <c r="DY5" i="11" l="1"/>
  <c r="DX6" i="11"/>
  <c r="DY6" i="11" l="1"/>
  <c r="DZ5" i="11"/>
  <c r="DZ6" i="11" l="1"/>
  <c r="EA5" i="11"/>
  <c r="EA6" i="11" l="1"/>
  <c r="EA4" i="11"/>
  <c r="EB5" i="11"/>
  <c r="EB6" i="11" l="1"/>
  <c r="EC5" i="11"/>
  <c r="ED5" i="11" l="1"/>
  <c r="EC6" i="11"/>
  <c r="ED6" i="11" l="1"/>
  <c r="EE5" i="11"/>
  <c r="EE6" i="11" l="1"/>
  <c r="EF5" i="11"/>
  <c r="EF6" i="11" l="1"/>
  <c r="EF4" i="11"/>
  <c r="EG5" i="11"/>
  <c r="EG6" i="11" l="1"/>
  <c r="EH5" i="11"/>
  <c r="EI5" i="11" l="1"/>
  <c r="EH6" i="11"/>
  <c r="EI6" i="11" l="1"/>
  <c r="EJ5" i="11"/>
  <c r="EJ6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Vertex42.com Templates</author>
  </authors>
  <commentList>
    <comment ref="E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DAYS:</t>
        </r>
        <r>
          <rPr>
            <sz val="9"/>
            <color indexed="81"/>
            <rFont val="Tahoma"/>
            <family val="2"/>
          </rPr>
          <t xml:space="preserve">
This column calculates the duration of the task in calendar days. The duration includes both the Start and End dates.</t>
        </r>
      </text>
    </comment>
  </commentList>
</comments>
</file>

<file path=xl/sharedStrings.xml><?xml version="1.0" encoding="utf-8"?>
<sst xmlns="http://schemas.openxmlformats.org/spreadsheetml/2006/main" count="52" uniqueCount="48">
  <si>
    <t>Project Start:</t>
  </si>
  <si>
    <t>Today:</t>
  </si>
  <si>
    <t>Display Week:</t>
  </si>
  <si>
    <t>TASK</t>
  </si>
  <si>
    <t>PROGRESS</t>
  </si>
  <si>
    <t>START</t>
  </si>
  <si>
    <t>END</t>
  </si>
  <si>
    <t>DAYS</t>
  </si>
  <si>
    <t>FEV</t>
  </si>
  <si>
    <t>m/d/y</t>
  </si>
  <si>
    <t>d/m/y</t>
  </si>
  <si>
    <t>Onboarding Process</t>
  </si>
  <si>
    <t>Visa Application</t>
  </si>
  <si>
    <t>RWTH Enrollment</t>
  </si>
  <si>
    <t>Administrative &amp; Kickstart Process</t>
  </si>
  <si>
    <t>Task Definition</t>
  </si>
  <si>
    <t>Writing</t>
  </si>
  <si>
    <t>Lit. rev. on different methodologies for the same or similar objective</t>
  </si>
  <si>
    <t>Identification of the literature gap</t>
  </si>
  <si>
    <t>Selection of reference methodology</t>
  </si>
  <si>
    <t>Draft 1 completion of Results, Analysis, and Discussion</t>
  </si>
  <si>
    <t>Draft 1 completion of Methodology</t>
  </si>
  <si>
    <t>Draft 1 completion of Abstract</t>
  </si>
  <si>
    <t>Draft 1 completion of Master Thesis</t>
  </si>
  <si>
    <t>Completion of thesis defense presentation</t>
  </si>
  <si>
    <t>Completion of master thesis</t>
  </si>
  <si>
    <t>Draft 1 Completion of Objective &amp; Literature Review</t>
  </si>
  <si>
    <t>MILP vs RL for Hybrid Biomass &amp; PtX Methanol Synthesis Plant</t>
  </si>
  <si>
    <t>MILP Framework</t>
  </si>
  <si>
    <t>Model introduction</t>
  </si>
  <si>
    <t>Improvement identification opportunity for the model</t>
  </si>
  <si>
    <t>Definition of scenario to analyze</t>
  </si>
  <si>
    <t>Run model on different scenarios</t>
  </si>
  <si>
    <t>Collection and analysis of results</t>
  </si>
  <si>
    <t>RL Framework</t>
  </si>
  <si>
    <t>Simple model construction practice</t>
  </si>
  <si>
    <t>Comparison</t>
  </si>
  <si>
    <t>Analysis of MILP vs RL</t>
  </si>
  <si>
    <t xml:space="preserve">REST Directive Application </t>
  </si>
  <si>
    <t>Definition of unit of measurement</t>
  </si>
  <si>
    <t>Sumamary of result of both frameworks</t>
  </si>
  <si>
    <t>Sensitivity analysis of the unit of measurement</t>
  </si>
  <si>
    <t>Holiday</t>
  </si>
  <si>
    <t>Robin's off days</t>
  </si>
  <si>
    <t>Robin's off days Summer</t>
  </si>
  <si>
    <t>Thesis Defense Week</t>
  </si>
  <si>
    <t>%</t>
  </si>
  <si>
    <t>Improvement &amp; validation identification opportunity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</si>
</sst>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/d/yy;@"/>
    <numFmt numFmtId="165" formatCode="ddd\,\ m/d/yyyy"/>
    <numFmt numFmtId="166" formatCode="mmm\ d\,\ yyyy"/>
    <numFmt numFmtId="167" formatCode="d"/>
  </numFmts>
  <fonts count="17" x14ac:knownFonts="1">
    <font>
      <sz val="11"/>
      <color theme="1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0"/>
      <name val="Calibri"/>
      <family val="2"/>
      <scheme val="minor"/>
    </font>
    <font>
      <sz val="16"/>
      <name val="Calibri"/>
      <family val="2"/>
      <scheme val="minor"/>
    </font>
    <font>
      <sz val="16"/>
      <color theme="0" tint="-0.499984740745262"/>
      <name val="Calibri"/>
      <family val="2"/>
      <scheme val="minor"/>
    </font>
    <font>
      <u/>
      <sz val="16"/>
      <color theme="4" tint="-0.249977111117893"/>
      <name val="Arial"/>
      <family val="2"/>
    </font>
    <font>
      <b/>
      <sz val="11"/>
      <name val="Calibri"/>
      <family val="2"/>
      <scheme val="minor"/>
    </font>
    <font>
      <b/>
      <sz val="14"/>
      <color theme="1" tint="0.34998626667073579"/>
      <name val="Calibri"/>
      <family val="2"/>
      <scheme val="major"/>
    </font>
    <font>
      <b/>
      <i/>
      <sz val="18"/>
      <color rgb="FFC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</fills>
  <borders count="11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6" fillId="0" borderId="0" xfId="0" applyFont="1"/>
    <xf numFmtId="0" fontId="4" fillId="15" borderId="1" xfId="0" applyFont="1" applyFill="1" applyBorder="1" applyAlignment="1">
      <alignment horizontal="left" vertical="center" indent="1"/>
    </xf>
    <xf numFmtId="0" fontId="4" fillId="15" borderId="1" xfId="0" applyFont="1" applyFill="1" applyBorder="1" applyAlignment="1">
      <alignment horizontal="center" vertical="center" wrapText="1"/>
    </xf>
    <xf numFmtId="167" fontId="7" fillId="8" borderId="0" xfId="0" applyNumberFormat="1" applyFont="1" applyFill="1" applyAlignment="1">
      <alignment horizontal="center" vertical="center"/>
    </xf>
    <xf numFmtId="167" fontId="7" fillId="8" borderId="7" xfId="0" applyNumberFormat="1" applyFont="1" applyFill="1" applyBorder="1" applyAlignment="1">
      <alignment horizontal="center" vertical="center"/>
    </xf>
    <xf numFmtId="0" fontId="10" fillId="14" borderId="8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 indent="1"/>
    </xf>
    <xf numFmtId="9" fontId="2" fillId="9" borderId="2" xfId="2" applyFont="1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 vertical="center"/>
    </xf>
    <xf numFmtId="164" fontId="2" fillId="9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indent="2"/>
    </xf>
    <xf numFmtId="9" fontId="2" fillId="3" borderId="2" xfId="2" applyFont="1" applyFill="1" applyBorder="1" applyAlignment="1">
      <alignment horizontal="center" vertical="center"/>
    </xf>
    <xf numFmtId="9" fontId="2" fillId="10" borderId="2" xfId="2" applyFont="1" applyFill="1" applyBorder="1" applyAlignment="1">
      <alignment horizontal="center" vertical="center"/>
    </xf>
    <xf numFmtId="9" fontId="2" fillId="4" borderId="2" xfId="2" applyFont="1" applyFill="1" applyBorder="1" applyAlignment="1">
      <alignment horizontal="center" vertical="center"/>
    </xf>
    <xf numFmtId="9" fontId="2" fillId="6" borderId="2" xfId="2" applyFont="1" applyFill="1" applyBorder="1" applyAlignment="1">
      <alignment horizontal="center" vertical="center"/>
    </xf>
    <xf numFmtId="9" fontId="2" fillId="13" borderId="2" xfId="2" applyFont="1" applyFill="1" applyBorder="1" applyAlignment="1">
      <alignment horizontal="center" vertical="center"/>
    </xf>
    <xf numFmtId="9" fontId="2" fillId="5" borderId="2" xfId="2" applyFont="1" applyFill="1" applyBorder="1" applyAlignment="1">
      <alignment horizontal="center" vertical="center"/>
    </xf>
    <xf numFmtId="9" fontId="2" fillId="11" borderId="2" xfId="2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 indent="1"/>
    </xf>
    <xf numFmtId="9" fontId="2" fillId="7" borderId="2" xfId="2" applyFont="1" applyFill="1" applyBorder="1" applyAlignment="1">
      <alignment horizontal="center" vertical="center"/>
    </xf>
    <xf numFmtId="9" fontId="2" fillId="12" borderId="2" xfId="2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2" borderId="9" xfId="0" applyFill="1" applyBorder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3" fillId="10" borderId="2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0" fillId="13" borderId="2" xfId="0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0" fillId="11" borderId="2" xfId="0" applyFill="1" applyBorder="1" applyAlignment="1">
      <alignment horizontal="left" vertical="center" wrapText="1"/>
    </xf>
    <xf numFmtId="0" fontId="0" fillId="12" borderId="2" xfId="0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14" fontId="0" fillId="10" borderId="2" xfId="0" applyNumberFormat="1" applyFill="1" applyBorder="1" applyAlignment="1">
      <alignment horizontal="center" vertical="center"/>
    </xf>
    <xf numFmtId="14" fontId="2" fillId="10" borderId="2" xfId="0" applyNumberFormat="1" applyFon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14" fontId="14" fillId="5" borderId="2" xfId="0" applyNumberFormat="1" applyFont="1" applyFill="1" applyBorder="1" applyAlignment="1">
      <alignment horizontal="center" vertical="center"/>
    </xf>
    <xf numFmtId="14" fontId="0" fillId="11" borderId="2" xfId="0" applyNumberFormat="1" applyFill="1" applyBorder="1" applyAlignment="1">
      <alignment horizontal="center" vertical="center"/>
    </xf>
    <xf numFmtId="14" fontId="2" fillId="11" borderId="2" xfId="0" applyNumberFormat="1" applyFont="1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 vertical="center"/>
    </xf>
    <xf numFmtId="14" fontId="2" fillId="6" borderId="2" xfId="0" applyNumberFormat="1" applyFont="1" applyFill="1" applyBorder="1" applyAlignment="1">
      <alignment horizontal="center" vertical="center"/>
    </xf>
    <xf numFmtId="14" fontId="0" fillId="13" borderId="2" xfId="0" applyNumberFormat="1" applyFill="1" applyBorder="1" applyAlignment="1">
      <alignment horizontal="center" vertical="center"/>
    </xf>
    <xf numFmtId="14" fontId="2" fillId="13" borderId="2" xfId="0" applyNumberFormat="1" applyFont="1" applyFill="1" applyBorder="1" applyAlignment="1">
      <alignment horizontal="center" vertical="center"/>
    </xf>
    <xf numFmtId="14" fontId="0" fillId="7" borderId="2" xfId="0" applyNumberFormat="1" applyFill="1" applyBorder="1" applyAlignment="1">
      <alignment horizontal="center" vertical="center"/>
    </xf>
    <xf numFmtId="14" fontId="2" fillId="7" borderId="2" xfId="0" applyNumberFormat="1" applyFont="1" applyFill="1" applyBorder="1" applyAlignment="1">
      <alignment horizontal="center" vertical="center"/>
    </xf>
    <xf numFmtId="14" fontId="0" fillId="12" borderId="2" xfId="0" applyNumberFormat="1" applyFill="1" applyBorder="1" applyAlignment="1">
      <alignment horizontal="center" vertical="center"/>
    </xf>
    <xf numFmtId="14" fontId="2" fillId="12" borderId="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6" fillId="0" borderId="0" xfId="0" applyFont="1"/>
    <xf numFmtId="14" fontId="0" fillId="13" borderId="10" xfId="0" applyNumberFormat="1" applyFill="1" applyBorder="1" applyAlignment="1">
      <alignment vertical="center"/>
    </xf>
    <xf numFmtId="166" fontId="0" fillId="8" borderId="6" xfId="0" applyNumberFormat="1" applyFill="1" applyBorder="1" applyAlignment="1">
      <alignment horizontal="left" vertical="center" wrapText="1" indent="1"/>
    </xf>
    <xf numFmtId="166" fontId="0" fillId="8" borderId="1" xfId="0" applyNumberFormat="1" applyFill="1" applyBorder="1" applyAlignment="1">
      <alignment horizontal="left" vertical="center" wrapText="1" indent="1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13" fillId="0" borderId="0" xfId="1" applyFont="1" applyAlignment="1" applyProtection="1">
      <alignment horizontal="left" vertical="center"/>
    </xf>
  </cellXfs>
  <cellStyles count="3">
    <cellStyle name="Hyperlink" xfId="1" builtinId="8" customBuiltin="1"/>
    <cellStyle name="Normal" xfId="0" builtinId="0"/>
    <cellStyle name="Percent" xfId="2" builtinId="5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922B9D-3F74-4958-852F-415B17A35EEC}">
  <we:reference id="81ae7f57-2760-4043-a9cb-e0d36209e808" version="1.3.0.0" store="EXCatalog" storeType="EXCatalog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J51"/>
  <sheetViews>
    <sheetView showGridLines="0" tabSelected="1" showRuler="0" zoomScaleNormal="100" zoomScalePageLayoutView="70" workbookViewId="0">
      <pane xSplit="1" ySplit="6" topLeftCell="B7" activePane="bottomRight" state="frozen"/>
      <selection pane="topRight" activeCell="B1" sqref="B1"/>
      <selection pane="bottomLeft" activeCell="A8" sqref="A8"/>
      <selection pane="bottomRight" activeCell="B38" sqref="B38"/>
    </sheetView>
  </sheetViews>
  <sheetFormatPr defaultColWidth="8.6640625" defaultRowHeight="14.4" x14ac:dyDescent="0.3"/>
  <cols>
    <col min="1" max="1" width="39.5546875" customWidth="1"/>
    <col min="2" max="2" width="10.6640625" customWidth="1"/>
    <col min="3" max="3" width="12" style="2" customWidth="1"/>
    <col min="4" max="4" width="14.109375" customWidth="1"/>
    <col min="5" max="5" width="5.33203125" customWidth="1"/>
    <col min="6" max="140" width="3.5546875" customWidth="1"/>
  </cols>
  <sheetData>
    <row r="1" spans="1:140" ht="21" x14ac:dyDescent="0.4">
      <c r="A1" s="59" t="s">
        <v>27</v>
      </c>
      <c r="B1" s="29"/>
      <c r="C1" s="30"/>
      <c r="D1" s="31"/>
      <c r="E1" s="29"/>
      <c r="F1" s="32"/>
      <c r="G1" s="68"/>
      <c r="H1" s="68"/>
      <c r="I1" s="68"/>
      <c r="J1" s="68"/>
      <c r="K1" s="68"/>
      <c r="L1" s="68"/>
      <c r="M1" s="68"/>
      <c r="N1" s="68"/>
      <c r="O1" s="68"/>
    </row>
    <row r="2" spans="1:140" ht="23.4" x14ac:dyDescent="0.45">
      <c r="A2" s="60" t="s">
        <v>8</v>
      </c>
      <c r="B2" s="3" t="s">
        <v>0</v>
      </c>
      <c r="C2" s="64">
        <v>46083</v>
      </c>
      <c r="D2" s="65"/>
      <c r="E2" t="s">
        <v>9</v>
      </c>
    </row>
    <row r="3" spans="1:140" ht="18" x14ac:dyDescent="0.35">
      <c r="A3" s="4"/>
      <c r="B3" s="3" t="s">
        <v>1</v>
      </c>
      <c r="C3" s="66">
        <f ca="1">TODAY()</f>
        <v>46211</v>
      </c>
      <c r="D3" s="67"/>
      <c r="E3" t="s">
        <v>10</v>
      </c>
    </row>
    <row r="4" spans="1:140" x14ac:dyDescent="0.3">
      <c r="B4" s="3" t="s">
        <v>2</v>
      </c>
      <c r="C4" s="40">
        <v>1</v>
      </c>
      <c r="F4" s="62">
        <f>F5</f>
        <v>46083</v>
      </c>
      <c r="G4" s="63"/>
      <c r="H4" s="63"/>
      <c r="I4" s="63"/>
      <c r="J4" s="63"/>
      <c r="K4" s="62">
        <f>K5</f>
        <v>46090</v>
      </c>
      <c r="L4" s="63"/>
      <c r="M4" s="63"/>
      <c r="N4" s="63"/>
      <c r="O4" s="63"/>
      <c r="P4" s="62">
        <f>P5</f>
        <v>46097</v>
      </c>
      <c r="Q4" s="63"/>
      <c r="R4" s="63"/>
      <c r="S4" s="63"/>
      <c r="T4" s="63"/>
      <c r="U4" s="62">
        <f>U5</f>
        <v>46104</v>
      </c>
      <c r="V4" s="63"/>
      <c r="W4" s="63"/>
      <c r="X4" s="63"/>
      <c r="Y4" s="63"/>
      <c r="Z4" s="62">
        <f>Z5</f>
        <v>46111</v>
      </c>
      <c r="AA4" s="63"/>
      <c r="AB4" s="63"/>
      <c r="AC4" s="63"/>
      <c r="AD4" s="63"/>
      <c r="AE4" s="62">
        <f>AE5</f>
        <v>46118</v>
      </c>
      <c r="AF4" s="63"/>
      <c r="AG4" s="63"/>
      <c r="AH4" s="63"/>
      <c r="AI4" s="63"/>
      <c r="AJ4" s="62">
        <f>AJ5</f>
        <v>46125</v>
      </c>
      <c r="AK4" s="63"/>
      <c r="AL4" s="63"/>
      <c r="AM4" s="63"/>
      <c r="AN4" s="63"/>
      <c r="AO4" s="62">
        <f>AO5</f>
        <v>46132</v>
      </c>
      <c r="AP4" s="63"/>
      <c r="AQ4" s="63"/>
      <c r="AR4" s="63"/>
      <c r="AS4" s="63"/>
      <c r="AT4" s="62">
        <f>AT5</f>
        <v>46139</v>
      </c>
      <c r="AU4" s="63"/>
      <c r="AV4" s="63"/>
      <c r="AW4" s="63"/>
      <c r="AX4" s="63"/>
      <c r="AY4" s="62">
        <f>AY5</f>
        <v>46146</v>
      </c>
      <c r="AZ4" s="63"/>
      <c r="BA4" s="63"/>
      <c r="BB4" s="63"/>
      <c r="BC4" s="63"/>
      <c r="BD4" s="62">
        <f>BD5</f>
        <v>46153</v>
      </c>
      <c r="BE4" s="63"/>
      <c r="BF4" s="63"/>
      <c r="BG4" s="63"/>
      <c r="BH4" s="63"/>
      <c r="BI4" s="62">
        <f>BI5</f>
        <v>46160</v>
      </c>
      <c r="BJ4" s="63"/>
      <c r="BK4" s="63"/>
      <c r="BL4" s="63"/>
      <c r="BM4" s="63"/>
      <c r="BN4" s="62">
        <f>BN5</f>
        <v>46167</v>
      </c>
      <c r="BO4" s="63"/>
      <c r="BP4" s="63"/>
      <c r="BQ4" s="63"/>
      <c r="BR4" s="63"/>
      <c r="BS4" s="62">
        <f>BS5</f>
        <v>46174</v>
      </c>
      <c r="BT4" s="63"/>
      <c r="BU4" s="63"/>
      <c r="BV4" s="63"/>
      <c r="BW4" s="63"/>
      <c r="BX4" s="62">
        <f>BX5</f>
        <v>46181</v>
      </c>
      <c r="BY4" s="63"/>
      <c r="BZ4" s="63"/>
      <c r="CA4" s="63"/>
      <c r="CB4" s="63"/>
      <c r="CC4" s="62">
        <f>CC5</f>
        <v>46188</v>
      </c>
      <c r="CD4" s="63"/>
      <c r="CE4" s="63"/>
      <c r="CF4" s="63"/>
      <c r="CG4" s="63"/>
      <c r="CH4" s="62">
        <f>CH5</f>
        <v>46195</v>
      </c>
      <c r="CI4" s="63"/>
      <c r="CJ4" s="63"/>
      <c r="CK4" s="63"/>
      <c r="CL4" s="63"/>
      <c r="CM4" s="62">
        <f>CM5</f>
        <v>46202</v>
      </c>
      <c r="CN4" s="63"/>
      <c r="CO4" s="63"/>
      <c r="CP4" s="63"/>
      <c r="CQ4" s="63"/>
      <c r="CR4" s="62">
        <f>CR5</f>
        <v>46209</v>
      </c>
      <c r="CS4" s="63"/>
      <c r="CT4" s="63"/>
      <c r="CU4" s="63"/>
      <c r="CV4" s="63"/>
      <c r="CW4" s="62">
        <f>CW5</f>
        <v>46216</v>
      </c>
      <c r="CX4" s="63"/>
      <c r="CY4" s="63"/>
      <c r="CZ4" s="63"/>
      <c r="DA4" s="63"/>
      <c r="DB4" s="62">
        <f>DB5</f>
        <v>46223</v>
      </c>
      <c r="DC4" s="63"/>
      <c r="DD4" s="63"/>
      <c r="DE4" s="63"/>
      <c r="DF4" s="63"/>
      <c r="DG4" s="62">
        <f>DG5</f>
        <v>46230</v>
      </c>
      <c r="DH4" s="63"/>
      <c r="DI4" s="63"/>
      <c r="DJ4" s="63"/>
      <c r="DK4" s="63"/>
      <c r="DL4" s="62">
        <f>DL5</f>
        <v>46237</v>
      </c>
      <c r="DM4" s="63"/>
      <c r="DN4" s="63"/>
      <c r="DO4" s="63"/>
      <c r="DP4" s="63"/>
      <c r="DQ4" s="62">
        <f>DQ5</f>
        <v>46244</v>
      </c>
      <c r="DR4" s="63"/>
      <c r="DS4" s="63"/>
      <c r="DT4" s="63"/>
      <c r="DU4" s="63"/>
      <c r="DV4" s="62">
        <f>DV5</f>
        <v>46251</v>
      </c>
      <c r="DW4" s="63"/>
      <c r="DX4" s="63"/>
      <c r="DY4" s="63"/>
      <c r="DZ4" s="63"/>
      <c r="EA4" s="62">
        <f>EA5</f>
        <v>46258</v>
      </c>
      <c r="EB4" s="63"/>
      <c r="EC4" s="63"/>
      <c r="ED4" s="63"/>
      <c r="EE4" s="63"/>
      <c r="EF4" s="62">
        <f>EF5</f>
        <v>46265</v>
      </c>
      <c r="EG4" s="63"/>
      <c r="EH4" s="63"/>
      <c r="EI4" s="63"/>
      <c r="EJ4" s="63"/>
    </row>
    <row r="5" spans="1:140" x14ac:dyDescent="0.3">
      <c r="F5" s="8">
        <f>C2-WEEKDAY(C2,1)+2+7*(C4-1)</f>
        <v>46083</v>
      </c>
      <c r="G5" s="7">
        <f>F5+1</f>
        <v>46084</v>
      </c>
      <c r="H5" s="7">
        <f t="shared" ref="H5:O5" si="0">G5+1</f>
        <v>46085</v>
      </c>
      <c r="I5" s="7">
        <f t="shared" si="0"/>
        <v>46086</v>
      </c>
      <c r="J5" s="7">
        <f t="shared" si="0"/>
        <v>46087</v>
      </c>
      <c r="K5" s="8">
        <f>J5+3</f>
        <v>46090</v>
      </c>
      <c r="L5" s="7">
        <f>K5+1</f>
        <v>46091</v>
      </c>
      <c r="M5" s="7">
        <f t="shared" si="0"/>
        <v>46092</v>
      </c>
      <c r="N5" s="7">
        <f t="shared" si="0"/>
        <v>46093</v>
      </c>
      <c r="O5" s="7">
        <f t="shared" si="0"/>
        <v>46094</v>
      </c>
      <c r="P5" s="8">
        <f>O5+3</f>
        <v>46097</v>
      </c>
      <c r="Q5" s="7">
        <f>P5+1</f>
        <v>46098</v>
      </c>
      <c r="R5" s="7">
        <f t="shared" ref="R5" si="1">Q5+1</f>
        <v>46099</v>
      </c>
      <c r="S5" s="7">
        <f t="shared" ref="S5" si="2">R5+1</f>
        <v>46100</v>
      </c>
      <c r="T5" s="7">
        <f t="shared" ref="T5" si="3">S5+1</f>
        <v>46101</v>
      </c>
      <c r="U5" s="8">
        <f>T5+3</f>
        <v>46104</v>
      </c>
      <c r="V5" s="7">
        <f>U5+1</f>
        <v>46105</v>
      </c>
      <c r="W5" s="7">
        <f t="shared" ref="W5" si="4">V5+1</f>
        <v>46106</v>
      </c>
      <c r="X5" s="7">
        <f t="shared" ref="X5" si="5">W5+1</f>
        <v>46107</v>
      </c>
      <c r="Y5" s="7">
        <f t="shared" ref="Y5" si="6">X5+1</f>
        <v>46108</v>
      </c>
      <c r="Z5" s="8">
        <f>Y5+3</f>
        <v>46111</v>
      </c>
      <c r="AA5" s="7">
        <f>Z5+1</f>
        <v>46112</v>
      </c>
      <c r="AB5" s="7">
        <f t="shared" ref="AB5" si="7">AA5+1</f>
        <v>46113</v>
      </c>
      <c r="AC5" s="7">
        <f t="shared" ref="AC5" si="8">AB5+1</f>
        <v>46114</v>
      </c>
      <c r="AD5" s="7">
        <f t="shared" ref="AD5" si="9">AC5+1</f>
        <v>46115</v>
      </c>
      <c r="AE5" s="8">
        <f>AD5+3</f>
        <v>46118</v>
      </c>
      <c r="AF5" s="7">
        <f>AE5+1</f>
        <v>46119</v>
      </c>
      <c r="AG5" s="7">
        <f t="shared" ref="AG5" si="10">AF5+1</f>
        <v>46120</v>
      </c>
      <c r="AH5" s="7">
        <f t="shared" ref="AH5" si="11">AG5+1</f>
        <v>46121</v>
      </c>
      <c r="AI5" s="7">
        <f t="shared" ref="AI5" si="12">AH5+1</f>
        <v>46122</v>
      </c>
      <c r="AJ5" s="8">
        <f>AI5+3</f>
        <v>46125</v>
      </c>
      <c r="AK5" s="7">
        <f>AJ5+1</f>
        <v>46126</v>
      </c>
      <c r="AL5" s="7">
        <f t="shared" ref="AL5" si="13">AK5+1</f>
        <v>46127</v>
      </c>
      <c r="AM5" s="7">
        <f t="shared" ref="AM5" si="14">AL5+1</f>
        <v>46128</v>
      </c>
      <c r="AN5" s="7">
        <f t="shared" ref="AN5" si="15">AM5+1</f>
        <v>46129</v>
      </c>
      <c r="AO5" s="8">
        <f>AN5+3</f>
        <v>46132</v>
      </c>
      <c r="AP5" s="7">
        <f>AO5+1</f>
        <v>46133</v>
      </c>
      <c r="AQ5" s="7">
        <f t="shared" ref="AQ5" si="16">AP5+1</f>
        <v>46134</v>
      </c>
      <c r="AR5" s="7">
        <f t="shared" ref="AR5" si="17">AQ5+1</f>
        <v>46135</v>
      </c>
      <c r="AS5" s="7">
        <f t="shared" ref="AS5" si="18">AR5+1</f>
        <v>46136</v>
      </c>
      <c r="AT5" s="8">
        <f>AS5+3</f>
        <v>46139</v>
      </c>
      <c r="AU5" s="7">
        <f>AT5+1</f>
        <v>46140</v>
      </c>
      <c r="AV5" s="7">
        <f t="shared" ref="AV5" si="19">AU5+1</f>
        <v>46141</v>
      </c>
      <c r="AW5" s="7">
        <f t="shared" ref="AW5" si="20">AV5+1</f>
        <v>46142</v>
      </c>
      <c r="AX5" s="7">
        <f t="shared" ref="AX5" si="21">AW5+1</f>
        <v>46143</v>
      </c>
      <c r="AY5" s="8">
        <f>AX5+3</f>
        <v>46146</v>
      </c>
      <c r="AZ5" s="7">
        <f>AY5+1</f>
        <v>46147</v>
      </c>
      <c r="BA5" s="7">
        <f t="shared" ref="BA5" si="22">AZ5+1</f>
        <v>46148</v>
      </c>
      <c r="BB5" s="7">
        <f t="shared" ref="BB5" si="23">BA5+1</f>
        <v>46149</v>
      </c>
      <c r="BC5" s="7">
        <f t="shared" ref="BC5" si="24">BB5+1</f>
        <v>46150</v>
      </c>
      <c r="BD5" s="8">
        <f>BC5+3</f>
        <v>46153</v>
      </c>
      <c r="BE5" s="7">
        <f>BD5+1</f>
        <v>46154</v>
      </c>
      <c r="BF5" s="7">
        <f t="shared" ref="BF5" si="25">BE5+1</f>
        <v>46155</v>
      </c>
      <c r="BG5" s="7">
        <f t="shared" ref="BG5" si="26">BF5+1</f>
        <v>46156</v>
      </c>
      <c r="BH5" s="7">
        <f t="shared" ref="BH5" si="27">BG5+1</f>
        <v>46157</v>
      </c>
      <c r="BI5" s="8">
        <f>BH5+3</f>
        <v>46160</v>
      </c>
      <c r="BJ5" s="7">
        <f>BI5+1</f>
        <v>46161</v>
      </c>
      <c r="BK5" s="7">
        <f t="shared" ref="BK5" si="28">BJ5+1</f>
        <v>46162</v>
      </c>
      <c r="BL5" s="7">
        <f t="shared" ref="BL5" si="29">BK5+1</f>
        <v>46163</v>
      </c>
      <c r="BM5" s="7">
        <f t="shared" ref="BM5" si="30">BL5+1</f>
        <v>46164</v>
      </c>
      <c r="BN5" s="8">
        <f>BM5+3</f>
        <v>46167</v>
      </c>
      <c r="BO5" s="7">
        <f>BN5+1</f>
        <v>46168</v>
      </c>
      <c r="BP5" s="7">
        <f t="shared" ref="BP5" si="31">BO5+1</f>
        <v>46169</v>
      </c>
      <c r="BQ5" s="7">
        <f t="shared" ref="BQ5" si="32">BP5+1</f>
        <v>46170</v>
      </c>
      <c r="BR5" s="7">
        <f t="shared" ref="BR5" si="33">BQ5+1</f>
        <v>46171</v>
      </c>
      <c r="BS5" s="8">
        <f>BR5+3</f>
        <v>46174</v>
      </c>
      <c r="BT5" s="7">
        <f>BS5+1</f>
        <v>46175</v>
      </c>
      <c r="BU5" s="7">
        <f t="shared" ref="BU5" si="34">BT5+1</f>
        <v>46176</v>
      </c>
      <c r="BV5" s="7">
        <f t="shared" ref="BV5" si="35">BU5+1</f>
        <v>46177</v>
      </c>
      <c r="BW5" s="7">
        <f t="shared" ref="BW5" si="36">BV5+1</f>
        <v>46178</v>
      </c>
      <c r="BX5" s="8">
        <f>BW5+3</f>
        <v>46181</v>
      </c>
      <c r="BY5" s="7">
        <f>BX5+1</f>
        <v>46182</v>
      </c>
      <c r="BZ5" s="7">
        <f t="shared" ref="BZ5" si="37">BY5+1</f>
        <v>46183</v>
      </c>
      <c r="CA5" s="7">
        <f t="shared" ref="CA5" si="38">BZ5+1</f>
        <v>46184</v>
      </c>
      <c r="CB5" s="7">
        <f t="shared" ref="CB5" si="39">CA5+1</f>
        <v>46185</v>
      </c>
      <c r="CC5" s="8">
        <f>CB5+3</f>
        <v>46188</v>
      </c>
      <c r="CD5" s="7">
        <f>CC5+1</f>
        <v>46189</v>
      </c>
      <c r="CE5" s="7">
        <f t="shared" ref="CE5" si="40">CD5+1</f>
        <v>46190</v>
      </c>
      <c r="CF5" s="7">
        <f t="shared" ref="CF5" si="41">CE5+1</f>
        <v>46191</v>
      </c>
      <c r="CG5" s="7">
        <f t="shared" ref="CG5" si="42">CF5+1</f>
        <v>46192</v>
      </c>
      <c r="CH5" s="8">
        <f>CG5+3</f>
        <v>46195</v>
      </c>
      <c r="CI5" s="7">
        <f>CH5+1</f>
        <v>46196</v>
      </c>
      <c r="CJ5" s="7">
        <f t="shared" ref="CJ5" si="43">CI5+1</f>
        <v>46197</v>
      </c>
      <c r="CK5" s="7">
        <f t="shared" ref="CK5" si="44">CJ5+1</f>
        <v>46198</v>
      </c>
      <c r="CL5" s="7">
        <f t="shared" ref="CL5" si="45">CK5+1</f>
        <v>46199</v>
      </c>
      <c r="CM5" s="8">
        <f>CL5+3</f>
        <v>46202</v>
      </c>
      <c r="CN5" s="7">
        <f>CM5+1</f>
        <v>46203</v>
      </c>
      <c r="CO5" s="7">
        <f t="shared" ref="CO5" si="46">CN5+1</f>
        <v>46204</v>
      </c>
      <c r="CP5" s="7">
        <f t="shared" ref="CP5" si="47">CO5+1</f>
        <v>46205</v>
      </c>
      <c r="CQ5" s="7">
        <f t="shared" ref="CQ5" si="48">CP5+1</f>
        <v>46206</v>
      </c>
      <c r="CR5" s="8">
        <f>CQ5+3</f>
        <v>46209</v>
      </c>
      <c r="CS5" s="7">
        <f>CR5+1</f>
        <v>46210</v>
      </c>
      <c r="CT5" s="7">
        <f t="shared" ref="CT5" si="49">CS5+1</f>
        <v>46211</v>
      </c>
      <c r="CU5" s="7">
        <f t="shared" ref="CU5" si="50">CT5+1</f>
        <v>46212</v>
      </c>
      <c r="CV5" s="7">
        <f t="shared" ref="CV5" si="51">CU5+1</f>
        <v>46213</v>
      </c>
      <c r="CW5" s="8">
        <f>CV5+3</f>
        <v>46216</v>
      </c>
      <c r="CX5" s="7">
        <f>CW5+1</f>
        <v>46217</v>
      </c>
      <c r="CY5" s="7">
        <f t="shared" ref="CY5" si="52">CX5+1</f>
        <v>46218</v>
      </c>
      <c r="CZ5" s="7">
        <f t="shared" ref="CZ5" si="53">CY5+1</f>
        <v>46219</v>
      </c>
      <c r="DA5" s="7">
        <f t="shared" ref="DA5" si="54">CZ5+1</f>
        <v>46220</v>
      </c>
      <c r="DB5" s="8">
        <f>DA5+3</f>
        <v>46223</v>
      </c>
      <c r="DC5" s="7">
        <f>DB5+1</f>
        <v>46224</v>
      </c>
      <c r="DD5" s="7">
        <f t="shared" ref="DD5" si="55">DC5+1</f>
        <v>46225</v>
      </c>
      <c r="DE5" s="7">
        <f t="shared" ref="DE5" si="56">DD5+1</f>
        <v>46226</v>
      </c>
      <c r="DF5" s="7">
        <f t="shared" ref="DF5" si="57">DE5+1</f>
        <v>46227</v>
      </c>
      <c r="DG5" s="8">
        <f>DF5+3</f>
        <v>46230</v>
      </c>
      <c r="DH5" s="7">
        <f>DG5+1</f>
        <v>46231</v>
      </c>
      <c r="DI5" s="7">
        <f t="shared" ref="DI5" si="58">DH5+1</f>
        <v>46232</v>
      </c>
      <c r="DJ5" s="7">
        <f t="shared" ref="DJ5" si="59">DI5+1</f>
        <v>46233</v>
      </c>
      <c r="DK5" s="7">
        <f t="shared" ref="DK5" si="60">DJ5+1</f>
        <v>46234</v>
      </c>
      <c r="DL5" s="8">
        <f>DK5+3</f>
        <v>46237</v>
      </c>
      <c r="DM5" s="7">
        <f>DL5+1</f>
        <v>46238</v>
      </c>
      <c r="DN5" s="7">
        <f t="shared" ref="DN5" si="61">DM5+1</f>
        <v>46239</v>
      </c>
      <c r="DO5" s="7">
        <f t="shared" ref="DO5" si="62">DN5+1</f>
        <v>46240</v>
      </c>
      <c r="DP5" s="7">
        <f t="shared" ref="DP5" si="63">DO5+1</f>
        <v>46241</v>
      </c>
      <c r="DQ5" s="8">
        <f>DP5+3</f>
        <v>46244</v>
      </c>
      <c r="DR5" s="7">
        <f>DQ5+1</f>
        <v>46245</v>
      </c>
      <c r="DS5" s="7">
        <f t="shared" ref="DS5" si="64">DR5+1</f>
        <v>46246</v>
      </c>
      <c r="DT5" s="7">
        <f t="shared" ref="DT5" si="65">DS5+1</f>
        <v>46247</v>
      </c>
      <c r="DU5" s="7">
        <f t="shared" ref="DU5" si="66">DT5+1</f>
        <v>46248</v>
      </c>
      <c r="DV5" s="8">
        <f>DU5+3</f>
        <v>46251</v>
      </c>
      <c r="DW5" s="7">
        <f>DV5+1</f>
        <v>46252</v>
      </c>
      <c r="DX5" s="7">
        <f t="shared" ref="DX5" si="67">DW5+1</f>
        <v>46253</v>
      </c>
      <c r="DY5" s="7">
        <f t="shared" ref="DY5" si="68">DX5+1</f>
        <v>46254</v>
      </c>
      <c r="DZ5" s="7">
        <f t="shared" ref="DZ5" si="69">DY5+1</f>
        <v>46255</v>
      </c>
      <c r="EA5" s="8">
        <f>DZ5+3</f>
        <v>46258</v>
      </c>
      <c r="EB5" s="7">
        <f>EA5+1</f>
        <v>46259</v>
      </c>
      <c r="EC5" s="7">
        <f t="shared" ref="EC5" si="70">EB5+1</f>
        <v>46260</v>
      </c>
      <c r="ED5" s="7">
        <f t="shared" ref="ED5" si="71">EC5+1</f>
        <v>46261</v>
      </c>
      <c r="EE5" s="7">
        <f t="shared" ref="EE5" si="72">ED5+1</f>
        <v>46262</v>
      </c>
      <c r="EF5" s="8">
        <f>EE5+3</f>
        <v>46265</v>
      </c>
      <c r="EG5" s="7">
        <f>EF5+1</f>
        <v>46266</v>
      </c>
      <c r="EH5" s="7">
        <f t="shared" ref="EH5" si="73">EG5+1</f>
        <v>46267</v>
      </c>
      <c r="EI5" s="7">
        <f t="shared" ref="EI5" si="74">EH5+1</f>
        <v>46268</v>
      </c>
      <c r="EJ5" s="7">
        <f t="shared" ref="EJ5" si="75">EI5+1</f>
        <v>46269</v>
      </c>
    </row>
    <row r="6" spans="1:140" ht="15" thickBot="1" x14ac:dyDescent="0.35">
      <c r="A6" s="5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9" t="str">
        <f t="shared" ref="F6:N6" si="76">LEFT(TEXT(F5,"ttt"),1)</f>
        <v>M</v>
      </c>
      <c r="G6" s="9" t="str">
        <f t="shared" si="76"/>
        <v>D</v>
      </c>
      <c r="H6" s="9" t="str">
        <f t="shared" si="76"/>
        <v>M</v>
      </c>
      <c r="I6" s="9" t="str">
        <f t="shared" si="76"/>
        <v>D</v>
      </c>
      <c r="J6" s="9" t="str">
        <f t="shared" si="76"/>
        <v>F</v>
      </c>
      <c r="K6" s="9" t="str">
        <f t="shared" si="76"/>
        <v>M</v>
      </c>
      <c r="L6" s="9" t="str">
        <f t="shared" si="76"/>
        <v>D</v>
      </c>
      <c r="M6" s="9" t="str">
        <f t="shared" si="76"/>
        <v>M</v>
      </c>
      <c r="N6" s="9" t="str">
        <f t="shared" si="76"/>
        <v>D</v>
      </c>
      <c r="O6" s="9" t="str">
        <f>LEFT(TEXT(O5,"ttt"),1)</f>
        <v>F</v>
      </c>
      <c r="P6" s="9" t="str">
        <f>LEFT(TEXT(P5,"ttt"),1)</f>
        <v>M</v>
      </c>
      <c r="Q6" s="9" t="str">
        <f t="shared" ref="Q6:S6" si="77">LEFT(TEXT(Q5,"ttt"),1)</f>
        <v>D</v>
      </c>
      <c r="R6" s="9" t="str">
        <f t="shared" si="77"/>
        <v>M</v>
      </c>
      <c r="S6" s="9" t="str">
        <f t="shared" si="77"/>
        <v>D</v>
      </c>
      <c r="T6" s="9" t="str">
        <f>LEFT(TEXT(T5,"ttt"),1)</f>
        <v>F</v>
      </c>
      <c r="U6" s="9" t="str">
        <f>LEFT(TEXT(U5,"ttt"),1)</f>
        <v>M</v>
      </c>
      <c r="V6" s="9" t="str">
        <f t="shared" ref="V6:X6" si="78">LEFT(TEXT(V5,"ttt"),1)</f>
        <v>D</v>
      </c>
      <c r="W6" s="9" t="str">
        <f t="shared" si="78"/>
        <v>M</v>
      </c>
      <c r="X6" s="9" t="str">
        <f t="shared" si="78"/>
        <v>D</v>
      </c>
      <c r="Y6" s="9" t="str">
        <f>LEFT(TEXT(Y5,"ttt"),1)</f>
        <v>F</v>
      </c>
      <c r="Z6" s="9" t="str">
        <f>LEFT(TEXT(Z5,"ttt"),1)</f>
        <v>M</v>
      </c>
      <c r="AA6" s="9" t="str">
        <f t="shared" ref="AA6:AC6" si="79">LEFT(TEXT(AA5,"ttt"),1)</f>
        <v>D</v>
      </c>
      <c r="AB6" s="9" t="str">
        <f t="shared" si="79"/>
        <v>M</v>
      </c>
      <c r="AC6" s="9" t="str">
        <f t="shared" si="79"/>
        <v>D</v>
      </c>
      <c r="AD6" s="9" t="str">
        <f>LEFT(TEXT(AD5,"ttt"),1)</f>
        <v>F</v>
      </c>
      <c r="AE6" s="9" t="str">
        <f>LEFT(TEXT(AE5,"ttt"),1)</f>
        <v>M</v>
      </c>
      <c r="AF6" s="9" t="str">
        <f t="shared" ref="AF6:AH6" si="80">LEFT(TEXT(AF5,"ttt"),1)</f>
        <v>D</v>
      </c>
      <c r="AG6" s="9" t="str">
        <f t="shared" si="80"/>
        <v>M</v>
      </c>
      <c r="AH6" s="9" t="str">
        <f t="shared" si="80"/>
        <v>D</v>
      </c>
      <c r="AI6" s="9" t="str">
        <f>LEFT(TEXT(AI5,"ttt"),1)</f>
        <v>F</v>
      </c>
      <c r="AJ6" s="9" t="str">
        <f>LEFT(TEXT(AJ5,"ttt"),1)</f>
        <v>M</v>
      </c>
      <c r="AK6" s="9" t="str">
        <f t="shared" ref="AK6:AM6" si="81">LEFT(TEXT(AK5,"ttt"),1)</f>
        <v>D</v>
      </c>
      <c r="AL6" s="9" t="str">
        <f t="shared" si="81"/>
        <v>M</v>
      </c>
      <c r="AM6" s="9" t="str">
        <f t="shared" si="81"/>
        <v>D</v>
      </c>
      <c r="AN6" s="9" t="str">
        <f>LEFT(TEXT(AN5,"ttt"),1)</f>
        <v>F</v>
      </c>
      <c r="AO6" s="9" t="str">
        <f>LEFT(TEXT(AO5,"ttt"),1)</f>
        <v>M</v>
      </c>
      <c r="AP6" s="9" t="str">
        <f t="shared" ref="AP6:AR6" si="82">LEFT(TEXT(AP5,"ttt"),1)</f>
        <v>D</v>
      </c>
      <c r="AQ6" s="9" t="str">
        <f t="shared" si="82"/>
        <v>M</v>
      </c>
      <c r="AR6" s="9" t="str">
        <f t="shared" si="82"/>
        <v>D</v>
      </c>
      <c r="AS6" s="9" t="str">
        <f>LEFT(TEXT(AS5,"ttt"),1)</f>
        <v>F</v>
      </c>
      <c r="AT6" s="9" t="str">
        <f>LEFT(TEXT(AT5,"ttt"),1)</f>
        <v>M</v>
      </c>
      <c r="AU6" s="9" t="str">
        <f t="shared" ref="AU6:AW6" si="83">LEFT(TEXT(AU5,"ttt"),1)</f>
        <v>D</v>
      </c>
      <c r="AV6" s="9" t="str">
        <f t="shared" si="83"/>
        <v>M</v>
      </c>
      <c r="AW6" s="9" t="str">
        <f t="shared" si="83"/>
        <v>D</v>
      </c>
      <c r="AX6" s="9" t="str">
        <f>LEFT(TEXT(AX5,"ttt"),1)</f>
        <v>F</v>
      </c>
      <c r="AY6" s="9" t="str">
        <f>LEFT(TEXT(AY5,"ttt"),1)</f>
        <v>M</v>
      </c>
      <c r="AZ6" s="9" t="str">
        <f t="shared" ref="AZ6:BB6" si="84">LEFT(TEXT(AZ5,"ttt"),1)</f>
        <v>D</v>
      </c>
      <c r="BA6" s="9" t="str">
        <f t="shared" si="84"/>
        <v>M</v>
      </c>
      <c r="BB6" s="9" t="str">
        <f t="shared" si="84"/>
        <v>D</v>
      </c>
      <c r="BC6" s="9" t="str">
        <f>LEFT(TEXT(BC5,"ttt"),1)</f>
        <v>F</v>
      </c>
      <c r="BD6" s="9" t="str">
        <f>LEFT(TEXT(BD5,"ttt"),1)</f>
        <v>M</v>
      </c>
      <c r="BE6" s="9" t="str">
        <f t="shared" ref="BE6:BG6" si="85">LEFT(TEXT(BE5,"ttt"),1)</f>
        <v>D</v>
      </c>
      <c r="BF6" s="9" t="str">
        <f t="shared" si="85"/>
        <v>M</v>
      </c>
      <c r="BG6" s="9" t="str">
        <f t="shared" si="85"/>
        <v>D</v>
      </c>
      <c r="BH6" s="9" t="str">
        <f>LEFT(TEXT(BH5,"ttt"),1)</f>
        <v>F</v>
      </c>
      <c r="BI6" s="9" t="str">
        <f>LEFT(TEXT(BI5,"ttt"),1)</f>
        <v>M</v>
      </c>
      <c r="BJ6" s="9" t="str">
        <f t="shared" ref="BJ6:BL6" si="86">LEFT(TEXT(BJ5,"ttt"),1)</f>
        <v>D</v>
      </c>
      <c r="BK6" s="9" t="str">
        <f t="shared" si="86"/>
        <v>M</v>
      </c>
      <c r="BL6" s="9" t="str">
        <f t="shared" si="86"/>
        <v>D</v>
      </c>
      <c r="BM6" s="9" t="str">
        <f>LEFT(TEXT(BM5,"ttt"),1)</f>
        <v>F</v>
      </c>
      <c r="BN6" s="9" t="str">
        <f>LEFT(TEXT(BN5,"ttt"),1)</f>
        <v>M</v>
      </c>
      <c r="BO6" s="9" t="str">
        <f t="shared" ref="BO6:BQ6" si="87">LEFT(TEXT(BO5,"ttt"),1)</f>
        <v>D</v>
      </c>
      <c r="BP6" s="9" t="str">
        <f t="shared" si="87"/>
        <v>M</v>
      </c>
      <c r="BQ6" s="9" t="str">
        <f t="shared" si="87"/>
        <v>D</v>
      </c>
      <c r="BR6" s="9" t="str">
        <f>LEFT(TEXT(BR5,"ttt"),1)</f>
        <v>F</v>
      </c>
      <c r="BS6" s="9" t="str">
        <f>LEFT(TEXT(BS5,"ttt"),1)</f>
        <v>M</v>
      </c>
      <c r="BT6" s="9" t="str">
        <f t="shared" ref="BT6:BV6" si="88">LEFT(TEXT(BT5,"ttt"),1)</f>
        <v>D</v>
      </c>
      <c r="BU6" s="9" t="str">
        <f t="shared" si="88"/>
        <v>M</v>
      </c>
      <c r="BV6" s="9" t="str">
        <f t="shared" si="88"/>
        <v>D</v>
      </c>
      <c r="BW6" s="9" t="str">
        <f>LEFT(TEXT(BW5,"ttt"),1)</f>
        <v>F</v>
      </c>
      <c r="BX6" s="9" t="str">
        <f>LEFT(TEXT(BX5,"ttt"),1)</f>
        <v>M</v>
      </c>
      <c r="BY6" s="9" t="str">
        <f t="shared" ref="BY6:CA6" si="89">LEFT(TEXT(BY5,"ttt"),1)</f>
        <v>D</v>
      </c>
      <c r="BZ6" s="9" t="str">
        <f t="shared" si="89"/>
        <v>M</v>
      </c>
      <c r="CA6" s="9" t="str">
        <f t="shared" si="89"/>
        <v>D</v>
      </c>
      <c r="CB6" s="9" t="str">
        <f>LEFT(TEXT(CB5,"ttt"),1)</f>
        <v>F</v>
      </c>
      <c r="CC6" s="9" t="str">
        <f>LEFT(TEXT(CC5,"ttt"),1)</f>
        <v>M</v>
      </c>
      <c r="CD6" s="9" t="str">
        <f t="shared" ref="CD6:CF6" si="90">LEFT(TEXT(CD5,"ttt"),1)</f>
        <v>D</v>
      </c>
      <c r="CE6" s="9" t="str">
        <f t="shared" si="90"/>
        <v>M</v>
      </c>
      <c r="CF6" s="9" t="str">
        <f t="shared" si="90"/>
        <v>D</v>
      </c>
      <c r="CG6" s="9" t="str">
        <f>LEFT(TEXT(CG5,"ttt"),1)</f>
        <v>F</v>
      </c>
      <c r="CH6" s="9" t="str">
        <f>LEFT(TEXT(CH5,"ttt"),1)</f>
        <v>M</v>
      </c>
      <c r="CI6" s="9" t="str">
        <f t="shared" ref="CI6:CK6" si="91">LEFT(TEXT(CI5,"ttt"),1)</f>
        <v>D</v>
      </c>
      <c r="CJ6" s="9" t="str">
        <f t="shared" si="91"/>
        <v>M</v>
      </c>
      <c r="CK6" s="9" t="str">
        <f t="shared" si="91"/>
        <v>D</v>
      </c>
      <c r="CL6" s="9" t="str">
        <f>LEFT(TEXT(CL5,"ttt"),1)</f>
        <v>F</v>
      </c>
      <c r="CM6" s="9" t="str">
        <f>LEFT(TEXT(CM5,"ttt"),1)</f>
        <v>M</v>
      </c>
      <c r="CN6" s="9" t="str">
        <f t="shared" ref="CN6:CP6" si="92">LEFT(TEXT(CN5,"ttt"),1)</f>
        <v>D</v>
      </c>
      <c r="CO6" s="9" t="str">
        <f t="shared" si="92"/>
        <v>M</v>
      </c>
      <c r="CP6" s="9" t="str">
        <f t="shared" si="92"/>
        <v>D</v>
      </c>
      <c r="CQ6" s="9" t="str">
        <f>LEFT(TEXT(CQ5,"ttt"),1)</f>
        <v>F</v>
      </c>
      <c r="CR6" s="9" t="str">
        <f>LEFT(TEXT(CR5,"ttt"),1)</f>
        <v>M</v>
      </c>
      <c r="CS6" s="9" t="str">
        <f t="shared" ref="CS6:CU6" si="93">LEFT(TEXT(CS5,"ttt"),1)</f>
        <v>D</v>
      </c>
      <c r="CT6" s="9" t="str">
        <f t="shared" si="93"/>
        <v>M</v>
      </c>
      <c r="CU6" s="9" t="str">
        <f t="shared" si="93"/>
        <v>D</v>
      </c>
      <c r="CV6" s="9" t="str">
        <f>LEFT(TEXT(CV5,"ttt"),1)</f>
        <v>F</v>
      </c>
      <c r="CW6" s="9" t="str">
        <f>LEFT(TEXT(CW5,"ttt"),1)</f>
        <v>M</v>
      </c>
      <c r="CX6" s="9" t="str">
        <f t="shared" ref="CX6:CZ6" si="94">LEFT(TEXT(CX5,"ttt"),1)</f>
        <v>D</v>
      </c>
      <c r="CY6" s="9" t="str">
        <f t="shared" si="94"/>
        <v>M</v>
      </c>
      <c r="CZ6" s="9" t="str">
        <f t="shared" si="94"/>
        <v>D</v>
      </c>
      <c r="DA6" s="9" t="str">
        <f>LEFT(TEXT(DA5,"ttt"),1)</f>
        <v>F</v>
      </c>
      <c r="DB6" s="9" t="str">
        <f>LEFT(TEXT(DB5,"ttt"),1)</f>
        <v>M</v>
      </c>
      <c r="DC6" s="9" t="str">
        <f t="shared" ref="DC6:DE6" si="95">LEFT(TEXT(DC5,"ttt"),1)</f>
        <v>D</v>
      </c>
      <c r="DD6" s="9" t="str">
        <f t="shared" si="95"/>
        <v>M</v>
      </c>
      <c r="DE6" s="9" t="str">
        <f t="shared" si="95"/>
        <v>D</v>
      </c>
      <c r="DF6" s="9" t="str">
        <f>LEFT(TEXT(DF5,"ttt"),1)</f>
        <v>F</v>
      </c>
      <c r="DG6" s="9" t="str">
        <f>LEFT(TEXT(DG5,"ttt"),1)</f>
        <v>M</v>
      </c>
      <c r="DH6" s="9" t="str">
        <f t="shared" ref="DH6:DJ6" si="96">LEFT(TEXT(DH5,"ttt"),1)</f>
        <v>D</v>
      </c>
      <c r="DI6" s="9" t="str">
        <f t="shared" si="96"/>
        <v>M</v>
      </c>
      <c r="DJ6" s="9" t="str">
        <f t="shared" si="96"/>
        <v>D</v>
      </c>
      <c r="DK6" s="9" t="str">
        <f>LEFT(TEXT(DK5,"ttt"),1)</f>
        <v>F</v>
      </c>
      <c r="DL6" s="9" t="str">
        <f>LEFT(TEXT(DL5,"ttt"),1)</f>
        <v>M</v>
      </c>
      <c r="DM6" s="9" t="str">
        <f t="shared" ref="DM6:DO6" si="97">LEFT(TEXT(DM5,"ttt"),1)</f>
        <v>D</v>
      </c>
      <c r="DN6" s="9" t="str">
        <f t="shared" si="97"/>
        <v>M</v>
      </c>
      <c r="DO6" s="9" t="str">
        <f t="shared" si="97"/>
        <v>D</v>
      </c>
      <c r="DP6" s="9" t="str">
        <f>LEFT(TEXT(DP5,"ttt"),1)</f>
        <v>F</v>
      </c>
      <c r="DQ6" s="9" t="str">
        <f>LEFT(TEXT(DQ5,"ttt"),1)</f>
        <v>M</v>
      </c>
      <c r="DR6" s="9" t="str">
        <f t="shared" ref="DR6:DT6" si="98">LEFT(TEXT(DR5,"ttt"),1)</f>
        <v>D</v>
      </c>
      <c r="DS6" s="9" t="str">
        <f t="shared" si="98"/>
        <v>M</v>
      </c>
      <c r="DT6" s="9" t="str">
        <f t="shared" si="98"/>
        <v>D</v>
      </c>
      <c r="DU6" s="9" t="str">
        <f>LEFT(TEXT(DU5,"ttt"),1)</f>
        <v>F</v>
      </c>
      <c r="DV6" s="9" t="str">
        <f>LEFT(TEXT(DV5,"ttt"),1)</f>
        <v>M</v>
      </c>
      <c r="DW6" s="9" t="str">
        <f t="shared" ref="DW6:DY6" si="99">LEFT(TEXT(DW5,"ttt"),1)</f>
        <v>D</v>
      </c>
      <c r="DX6" s="9" t="str">
        <f t="shared" si="99"/>
        <v>M</v>
      </c>
      <c r="DY6" s="9" t="str">
        <f t="shared" si="99"/>
        <v>D</v>
      </c>
      <c r="DZ6" s="9" t="str">
        <f>LEFT(TEXT(DZ5,"ttt"),1)</f>
        <v>F</v>
      </c>
      <c r="EA6" s="9" t="str">
        <f>LEFT(TEXT(EA5,"ttt"),1)</f>
        <v>M</v>
      </c>
      <c r="EB6" s="9" t="str">
        <f t="shared" ref="EB6:ED6" si="100">LEFT(TEXT(EB5,"ttt"),1)</f>
        <v>D</v>
      </c>
      <c r="EC6" s="9" t="str">
        <f t="shared" si="100"/>
        <v>M</v>
      </c>
      <c r="ED6" s="9" t="str">
        <f t="shared" si="100"/>
        <v>D</v>
      </c>
      <c r="EE6" s="9" t="str">
        <f>LEFT(TEXT(EE5,"ttt"),1)</f>
        <v>F</v>
      </c>
      <c r="EF6" s="9" t="str">
        <f>LEFT(TEXT(EF5,"ttt"),1)</f>
        <v>M</v>
      </c>
      <c r="EG6" s="9" t="str">
        <f t="shared" ref="EG6:EI6" si="101">LEFT(TEXT(EG5,"ttt"),1)</f>
        <v>D</v>
      </c>
      <c r="EH6" s="9" t="str">
        <f t="shared" si="101"/>
        <v>M</v>
      </c>
      <c r="EI6" s="9" t="str">
        <f t="shared" si="101"/>
        <v>D</v>
      </c>
      <c r="EJ6" s="9" t="str">
        <f>LEFT(TEXT(EJ5,"ttt"),1)</f>
        <v>F</v>
      </c>
    </row>
    <row r="7" spans="1:140" s="1" customFormat="1" ht="15" thickBot="1" x14ac:dyDescent="0.35">
      <c r="A7" s="11" t="s">
        <v>14</v>
      </c>
      <c r="B7" s="12"/>
      <c r="C7" s="13"/>
      <c r="D7" s="14"/>
      <c r="E7" s="10" t="str">
        <f t="shared" ref="E7:E41" si="102">IF(OR(ISBLANK(task_start),ISBLANK(task_end)),"",task_end-task_start+1)</f>
        <v/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</row>
    <row r="8" spans="1:140" s="1" customFormat="1" ht="15" thickBot="1" x14ac:dyDescent="0.35">
      <c r="A8" s="15" t="s">
        <v>11</v>
      </c>
      <c r="B8" s="16">
        <v>0.8</v>
      </c>
      <c r="C8" s="41">
        <v>46084</v>
      </c>
      <c r="D8" s="41">
        <v>46090</v>
      </c>
      <c r="E8" s="10">
        <f t="shared" si="102"/>
        <v>7</v>
      </c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</row>
    <row r="9" spans="1:140" s="1" customFormat="1" ht="15" thickBot="1" x14ac:dyDescent="0.35">
      <c r="A9" s="15" t="s">
        <v>12</v>
      </c>
      <c r="B9" s="16">
        <v>1</v>
      </c>
      <c r="C9" s="41">
        <v>46094</v>
      </c>
      <c r="D9" s="42">
        <v>46099</v>
      </c>
      <c r="E9" s="10">
        <f t="shared" si="102"/>
        <v>6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</row>
    <row r="10" spans="1:140" s="1" customFormat="1" ht="15" thickBot="1" x14ac:dyDescent="0.35">
      <c r="A10" s="15" t="s">
        <v>13</v>
      </c>
      <c r="B10" s="16">
        <v>1</v>
      </c>
      <c r="C10" s="41">
        <v>46085</v>
      </c>
      <c r="D10" s="42">
        <v>46093</v>
      </c>
      <c r="E10" s="10">
        <f t="shared" si="102"/>
        <v>9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</row>
    <row r="11" spans="1:140" s="1" customFormat="1" ht="15" thickBot="1" x14ac:dyDescent="0.35">
      <c r="A11" s="15" t="s">
        <v>38</v>
      </c>
      <c r="B11" s="16">
        <v>1</v>
      </c>
      <c r="C11" s="41">
        <v>46093</v>
      </c>
      <c r="D11" s="42">
        <v>46111</v>
      </c>
      <c r="E11" s="10">
        <f t="shared" si="102"/>
        <v>19</v>
      </c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</row>
    <row r="12" spans="1:140" s="1" customFormat="1" ht="15" thickBot="1" x14ac:dyDescent="0.35">
      <c r="A12" s="15" t="s">
        <v>15</v>
      </c>
      <c r="B12" s="16">
        <v>0.7</v>
      </c>
      <c r="C12" s="41">
        <v>46085</v>
      </c>
      <c r="D12" s="42">
        <v>46111</v>
      </c>
      <c r="E12" s="10">
        <f t="shared" si="102"/>
        <v>27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</row>
    <row r="13" spans="1:140" s="1" customFormat="1" ht="15" thickBot="1" x14ac:dyDescent="0.35">
      <c r="A13" s="15"/>
      <c r="B13" s="16"/>
      <c r="C13" s="41"/>
      <c r="D13" s="41"/>
      <c r="E13" s="10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</row>
    <row r="14" spans="1:140" s="1" customFormat="1" ht="15" thickBot="1" x14ac:dyDescent="0.35">
      <c r="A14" s="33" t="s">
        <v>16</v>
      </c>
      <c r="B14" s="17"/>
      <c r="C14" s="43"/>
      <c r="D14" s="44"/>
      <c r="E14" s="10" t="str">
        <f t="shared" si="102"/>
        <v/>
      </c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</row>
    <row r="15" spans="1:140" s="1" customFormat="1" ht="29.4" thickBot="1" x14ac:dyDescent="0.35">
      <c r="A15" s="34" t="s">
        <v>17</v>
      </c>
      <c r="B15" s="18">
        <v>0.8</v>
      </c>
      <c r="C15" s="45">
        <v>46097</v>
      </c>
      <c r="D15" s="46">
        <f>+C15+7</f>
        <v>46104</v>
      </c>
      <c r="E15" s="10">
        <f t="shared" si="102"/>
        <v>8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</row>
    <row r="16" spans="1:140" s="1" customFormat="1" ht="15" thickBot="1" x14ac:dyDescent="0.35">
      <c r="A16" s="34" t="s">
        <v>18</v>
      </c>
      <c r="B16" s="18">
        <v>1</v>
      </c>
      <c r="C16" s="45">
        <f>+D15</f>
        <v>46104</v>
      </c>
      <c r="D16" s="46">
        <f>+C16+4</f>
        <v>46108</v>
      </c>
      <c r="E16" s="10">
        <f t="shared" si="102"/>
        <v>5</v>
      </c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</row>
    <row r="17" spans="1:140" s="1" customFormat="1" ht="15" thickBot="1" x14ac:dyDescent="0.35">
      <c r="A17" s="34" t="s">
        <v>19</v>
      </c>
      <c r="B17" s="18">
        <v>0.7</v>
      </c>
      <c r="C17" s="45">
        <f>+C16+4</f>
        <v>46108</v>
      </c>
      <c r="D17" s="46">
        <f>C17+7</f>
        <v>46115</v>
      </c>
      <c r="E17" s="10">
        <f t="shared" si="102"/>
        <v>8</v>
      </c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</row>
    <row r="18" spans="1:140" s="1" customFormat="1" ht="29.4" thickBot="1" x14ac:dyDescent="0.35">
      <c r="A18" s="34" t="s">
        <v>26</v>
      </c>
      <c r="B18" s="18" t="s">
        <v>46</v>
      </c>
      <c r="C18" s="45">
        <f>D17+7</f>
        <v>46122</v>
      </c>
      <c r="D18" s="46">
        <f>C18+18</f>
        <v>46140</v>
      </c>
      <c r="E18" s="10">
        <f t="shared" si="102"/>
        <v>19</v>
      </c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</row>
    <row r="19" spans="1:140" s="1" customFormat="1" ht="15" thickBot="1" x14ac:dyDescent="0.35">
      <c r="A19" s="34" t="s">
        <v>21</v>
      </c>
      <c r="B19" s="18">
        <v>0</v>
      </c>
      <c r="C19" s="45">
        <f>D18</f>
        <v>46140</v>
      </c>
      <c r="D19" s="46">
        <f>C19+9</f>
        <v>46149</v>
      </c>
      <c r="E19" s="10">
        <f t="shared" si="102"/>
        <v>10</v>
      </c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</row>
    <row r="20" spans="1:140" s="1" customFormat="1" ht="29.4" thickBot="1" x14ac:dyDescent="0.35">
      <c r="A20" s="34" t="s">
        <v>24</v>
      </c>
      <c r="B20" s="18">
        <v>0</v>
      </c>
      <c r="C20" s="45">
        <v>46174</v>
      </c>
      <c r="D20" s="46">
        <v>46197</v>
      </c>
      <c r="E20" s="10">
        <f t="shared" si="102"/>
        <v>24</v>
      </c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</row>
    <row r="21" spans="1:140" s="1" customFormat="1" ht="29.4" thickBot="1" x14ac:dyDescent="0.35">
      <c r="A21" s="34" t="s">
        <v>20</v>
      </c>
      <c r="B21" s="18">
        <v>0</v>
      </c>
      <c r="C21" s="45">
        <v>46187</v>
      </c>
      <c r="D21" s="46">
        <f>C21+30</f>
        <v>46217</v>
      </c>
      <c r="E21" s="10">
        <f t="shared" si="102"/>
        <v>31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</row>
    <row r="22" spans="1:140" s="1" customFormat="1" ht="15" thickBot="1" x14ac:dyDescent="0.35">
      <c r="A22" s="34" t="s">
        <v>22</v>
      </c>
      <c r="B22" s="18">
        <v>0</v>
      </c>
      <c r="C22" s="45">
        <v>46187</v>
      </c>
      <c r="D22" s="46">
        <v>46189</v>
      </c>
      <c r="E22" s="10">
        <f t="shared" si="102"/>
        <v>3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</row>
    <row r="23" spans="1:140" s="1" customFormat="1" ht="30.75" customHeight="1" thickBot="1" x14ac:dyDescent="0.35">
      <c r="A23" s="34" t="s">
        <v>23</v>
      </c>
      <c r="B23" s="18">
        <v>0</v>
      </c>
      <c r="C23" s="45">
        <v>46207</v>
      </c>
      <c r="D23" s="45">
        <v>46244</v>
      </c>
      <c r="E23" s="10">
        <f t="shared" si="102"/>
        <v>38</v>
      </c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</row>
    <row r="24" spans="1:140" s="1" customFormat="1" ht="15" thickBot="1" x14ac:dyDescent="0.35">
      <c r="A24" s="34" t="s">
        <v>25</v>
      </c>
      <c r="B24" s="18">
        <v>0</v>
      </c>
      <c r="C24" s="45">
        <f>D23</f>
        <v>46244</v>
      </c>
      <c r="D24" s="46">
        <v>46259</v>
      </c>
      <c r="E24" s="10">
        <f t="shared" si="102"/>
        <v>16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</row>
    <row r="25" spans="1:140" s="1" customFormat="1" ht="15" thickBot="1" x14ac:dyDescent="0.35">
      <c r="A25" s="34"/>
      <c r="B25" s="18"/>
      <c r="C25" s="45"/>
      <c r="D25" s="45"/>
      <c r="E25" s="10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</row>
    <row r="26" spans="1:140" s="1" customFormat="1" ht="15" thickBot="1" x14ac:dyDescent="0.35">
      <c r="A26" s="37" t="s">
        <v>28</v>
      </c>
      <c r="B26" s="21"/>
      <c r="C26" s="47"/>
      <c r="D26" s="48"/>
      <c r="E26" s="10" t="str">
        <f t="shared" si="102"/>
        <v/>
      </c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</row>
    <row r="27" spans="1:140" s="1" customFormat="1" ht="15" thickBot="1" x14ac:dyDescent="0.35">
      <c r="A27" s="38" t="s">
        <v>29</v>
      </c>
      <c r="B27" s="22">
        <v>1</v>
      </c>
      <c r="C27" s="49">
        <v>46090</v>
      </c>
      <c r="D27" s="50">
        <f>C27+10</f>
        <v>46100</v>
      </c>
      <c r="E27" s="10">
        <f t="shared" si="102"/>
        <v>11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</row>
    <row r="28" spans="1:140" s="1" customFormat="1" ht="15" thickBot="1" x14ac:dyDescent="0.35">
      <c r="A28" s="38" t="s">
        <v>35</v>
      </c>
      <c r="B28" s="22">
        <v>1</v>
      </c>
      <c r="C28" s="49">
        <f>C27+3</f>
        <v>46093</v>
      </c>
      <c r="D28" s="50">
        <v>46107</v>
      </c>
      <c r="E28" s="10">
        <f t="shared" si="102"/>
        <v>15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</row>
    <row r="29" spans="1:140" s="1" customFormat="1" ht="29.4" thickBot="1" x14ac:dyDescent="0.35">
      <c r="A29" s="38" t="s">
        <v>30</v>
      </c>
      <c r="B29" s="22">
        <v>1</v>
      </c>
      <c r="C29" s="49">
        <f>D28</f>
        <v>46107</v>
      </c>
      <c r="D29" s="50">
        <v>46122</v>
      </c>
      <c r="E29" s="10">
        <f t="shared" si="102"/>
        <v>16</v>
      </c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</row>
    <row r="30" spans="1:140" s="1" customFormat="1" ht="15" thickBot="1" x14ac:dyDescent="0.35">
      <c r="A30" s="38" t="s">
        <v>31</v>
      </c>
      <c r="B30" s="22">
        <v>1</v>
      </c>
      <c r="C30" s="49">
        <f>C27</f>
        <v>46090</v>
      </c>
      <c r="D30" s="50">
        <v>46111</v>
      </c>
      <c r="E30" s="10">
        <f t="shared" si="102"/>
        <v>22</v>
      </c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</row>
    <row r="31" spans="1:140" s="1" customFormat="1" ht="15" thickBot="1" x14ac:dyDescent="0.35">
      <c r="A31" s="38" t="s">
        <v>32</v>
      </c>
      <c r="B31" s="22">
        <v>1</v>
      </c>
      <c r="C31" s="49">
        <f>D29+4</f>
        <v>46126</v>
      </c>
      <c r="D31" s="50">
        <f>C31+30</f>
        <v>46156</v>
      </c>
      <c r="E31" s="10">
        <f t="shared" si="102"/>
        <v>31</v>
      </c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</row>
    <row r="32" spans="1:140" s="1" customFormat="1" ht="15" thickBot="1" x14ac:dyDescent="0.35">
      <c r="A32" s="38" t="s">
        <v>33</v>
      </c>
      <c r="B32" s="22">
        <v>1</v>
      </c>
      <c r="C32" s="49">
        <f>D31-7-5</f>
        <v>46144</v>
      </c>
      <c r="D32" s="50">
        <v>46180</v>
      </c>
      <c r="E32" s="10">
        <f t="shared" si="102"/>
        <v>37</v>
      </c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</row>
    <row r="33" spans="1:140" s="1" customFormat="1" ht="15" thickBot="1" x14ac:dyDescent="0.35">
      <c r="A33" s="38"/>
      <c r="B33" s="22"/>
      <c r="C33" s="49"/>
      <c r="D33" s="49"/>
      <c r="E33" s="10" t="str">
        <f t="shared" si="102"/>
        <v/>
      </c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</row>
    <row r="34" spans="1:140" s="1" customFormat="1" ht="15" thickBot="1" x14ac:dyDescent="0.35">
      <c r="A34" s="35" t="s">
        <v>34</v>
      </c>
      <c r="B34" s="19"/>
      <c r="C34" s="51"/>
      <c r="D34" s="52"/>
      <c r="E34" s="10" t="str">
        <f t="shared" si="102"/>
        <v/>
      </c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</row>
    <row r="35" spans="1:140" s="1" customFormat="1" ht="15" thickBot="1" x14ac:dyDescent="0.35">
      <c r="A35" s="36" t="s">
        <v>29</v>
      </c>
      <c r="B35" s="20">
        <v>0.2</v>
      </c>
      <c r="C35" s="53">
        <v>46143</v>
      </c>
      <c r="D35" s="54">
        <v>46204</v>
      </c>
      <c r="E35" s="10">
        <f t="shared" si="102"/>
        <v>62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</row>
    <row r="36" spans="1:140" s="1" customFormat="1" ht="15" thickBot="1" x14ac:dyDescent="0.35">
      <c r="A36" s="36" t="s">
        <v>35</v>
      </c>
      <c r="B36" s="20">
        <v>0</v>
      </c>
      <c r="C36" s="53">
        <v>46188</v>
      </c>
      <c r="D36" s="54">
        <f>C36+15</f>
        <v>46203</v>
      </c>
      <c r="E36" s="10">
        <f t="shared" si="102"/>
        <v>16</v>
      </c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</row>
    <row r="37" spans="1:140" s="1" customFormat="1" ht="29.4" thickBot="1" x14ac:dyDescent="0.35">
      <c r="A37" s="36" t="s">
        <v>47</v>
      </c>
      <c r="B37" s="20">
        <v>0</v>
      </c>
      <c r="C37" s="53">
        <v>46204</v>
      </c>
      <c r="D37" s="54">
        <f>C37+14</f>
        <v>46218</v>
      </c>
      <c r="E37" s="10">
        <f t="shared" si="102"/>
        <v>15</v>
      </c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</row>
    <row r="38" spans="1:140" s="1" customFormat="1" ht="15" thickBot="1" x14ac:dyDescent="0.35">
      <c r="A38" s="36" t="s">
        <v>32</v>
      </c>
      <c r="B38" s="20">
        <v>0</v>
      </c>
      <c r="C38" s="53">
        <f>D37</f>
        <v>46218</v>
      </c>
      <c r="D38" s="54">
        <f>C38+14</f>
        <v>46232</v>
      </c>
      <c r="E38" s="10">
        <f t="shared" si="102"/>
        <v>15</v>
      </c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</row>
    <row r="39" spans="1:140" s="1" customFormat="1" ht="15" thickBot="1" x14ac:dyDescent="0.35">
      <c r="A39" s="36" t="s">
        <v>33</v>
      </c>
      <c r="B39" s="20">
        <v>0</v>
      </c>
      <c r="C39" s="61">
        <f>D38-20</f>
        <v>46212</v>
      </c>
      <c r="D39" s="54">
        <f>D38+7</f>
        <v>46239</v>
      </c>
      <c r="E39" s="10">
        <f>IF(OR(ISBLANK(task_start),ISBLANK(task_end)),"",task_end-task_start+1)</f>
        <v>28</v>
      </c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</row>
    <row r="40" spans="1:140" s="1" customFormat="1" ht="15" thickBot="1" x14ac:dyDescent="0.35">
      <c r="A40" s="36"/>
      <c r="B40" s="20"/>
      <c r="C40" s="61"/>
      <c r="D40" s="54"/>
      <c r="E40" s="10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</row>
    <row r="41" spans="1:140" s="1" customFormat="1" ht="15" thickBot="1" x14ac:dyDescent="0.35">
      <c r="A41" s="23" t="s">
        <v>36</v>
      </c>
      <c r="B41" s="24"/>
      <c r="C41" s="55"/>
      <c r="D41" s="56"/>
      <c r="E41" s="10" t="str">
        <f t="shared" si="102"/>
        <v/>
      </c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</row>
    <row r="42" spans="1:140" s="1" customFormat="1" ht="15" thickBot="1" x14ac:dyDescent="0.35">
      <c r="A42" s="39" t="s">
        <v>37</v>
      </c>
      <c r="B42" s="25">
        <v>0</v>
      </c>
      <c r="C42" s="57">
        <f>D39-7</f>
        <v>46232</v>
      </c>
      <c r="D42" s="58">
        <f>D39+14</f>
        <v>46253</v>
      </c>
      <c r="E42" s="10">
        <f>IF(OR(ISBLANK(task_start),ISBLANK(task_end)),"",task_end-task_start+1)</f>
        <v>22</v>
      </c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</row>
    <row r="43" spans="1:140" s="1" customFormat="1" ht="15" thickBot="1" x14ac:dyDescent="0.35">
      <c r="A43" s="39" t="s">
        <v>39</v>
      </c>
      <c r="B43" s="25">
        <v>1</v>
      </c>
      <c r="C43" s="57">
        <v>46137</v>
      </c>
      <c r="D43" s="58">
        <v>46152</v>
      </c>
      <c r="E43" s="10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</row>
    <row r="44" spans="1:140" s="1" customFormat="1" ht="15" thickBot="1" x14ac:dyDescent="0.35">
      <c r="A44" s="39" t="s">
        <v>40</v>
      </c>
      <c r="B44" s="25"/>
      <c r="C44" s="57">
        <f>D43</f>
        <v>46152</v>
      </c>
      <c r="D44" s="58">
        <f>C44+20</f>
        <v>46172</v>
      </c>
      <c r="E44" s="10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</row>
    <row r="45" spans="1:140" s="1" customFormat="1" ht="29.4" thickBot="1" x14ac:dyDescent="0.35">
      <c r="A45" s="39" t="s">
        <v>41</v>
      </c>
      <c r="B45" s="25"/>
      <c r="C45" s="57">
        <f>D44</f>
        <v>46172</v>
      </c>
      <c r="D45" s="58">
        <f>C45+15</f>
        <v>46187</v>
      </c>
      <c r="E45" s="10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</row>
    <row r="46" spans="1:140" s="1" customFormat="1" ht="15" thickBot="1" x14ac:dyDescent="0.35">
      <c r="A46" s="39"/>
      <c r="B46" s="25"/>
      <c r="C46" s="57"/>
      <c r="D46" s="58"/>
      <c r="E46" s="10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</row>
    <row r="47" spans="1:140" s="1" customFormat="1" ht="15" thickBot="1" x14ac:dyDescent="0.35">
      <c r="A47" s="39"/>
      <c r="B47" s="25"/>
      <c r="C47" s="57"/>
      <c r="D47" s="58"/>
      <c r="E47" s="26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</row>
    <row r="48" spans="1:140" s="1" customFormat="1" ht="15" thickBot="1" x14ac:dyDescent="0.35">
      <c r="A48" s="23" t="s">
        <v>42</v>
      </c>
      <c r="B48" s="24"/>
      <c r="C48" s="55"/>
      <c r="D48" s="56"/>
      <c r="E48" s="10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</row>
    <row r="49" spans="1:140" s="1" customFormat="1" ht="15" thickBot="1" x14ac:dyDescent="0.35">
      <c r="A49" s="39" t="s">
        <v>43</v>
      </c>
      <c r="B49" s="25">
        <v>1</v>
      </c>
      <c r="C49" s="57">
        <v>46136</v>
      </c>
      <c r="D49" s="57">
        <v>46143</v>
      </c>
      <c r="E49" s="2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</row>
    <row r="50" spans="1:140" s="1" customFormat="1" ht="15" thickBot="1" x14ac:dyDescent="0.35">
      <c r="A50" s="39" t="s">
        <v>44</v>
      </c>
      <c r="B50" s="25">
        <v>1</v>
      </c>
      <c r="C50" s="57">
        <v>46251</v>
      </c>
      <c r="D50" s="57">
        <v>46262</v>
      </c>
      <c r="E50" s="10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</row>
    <row r="51" spans="1:140" s="1" customFormat="1" ht="15" thickBot="1" x14ac:dyDescent="0.35">
      <c r="A51" s="39" t="s">
        <v>45</v>
      </c>
      <c r="B51" s="25">
        <v>1</v>
      </c>
      <c r="C51" s="57">
        <v>46197</v>
      </c>
      <c r="D51" s="57">
        <v>46207</v>
      </c>
      <c r="E51" s="10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</row>
  </sheetData>
  <mergeCells count="30">
    <mergeCell ref="C2:D2"/>
    <mergeCell ref="F4:J4"/>
    <mergeCell ref="K4:O4"/>
    <mergeCell ref="C3:D3"/>
    <mergeCell ref="G1:O1"/>
    <mergeCell ref="P4:T4"/>
    <mergeCell ref="U4:Y4"/>
    <mergeCell ref="Z4:AD4"/>
    <mergeCell ref="AE4:AI4"/>
    <mergeCell ref="AJ4:AN4"/>
    <mergeCell ref="AO4:AS4"/>
    <mergeCell ref="AT4:AX4"/>
    <mergeCell ref="AY4:BC4"/>
    <mergeCell ref="BD4:BH4"/>
    <mergeCell ref="BI4:BM4"/>
    <mergeCell ref="BN4:BR4"/>
    <mergeCell ref="BS4:BW4"/>
    <mergeCell ref="BX4:CB4"/>
    <mergeCell ref="CC4:CG4"/>
    <mergeCell ref="CH4:CL4"/>
    <mergeCell ref="CM4:CQ4"/>
    <mergeCell ref="CR4:CV4"/>
    <mergeCell ref="CW4:DA4"/>
    <mergeCell ref="DB4:DF4"/>
    <mergeCell ref="DG4:DK4"/>
    <mergeCell ref="DL4:DP4"/>
    <mergeCell ref="DQ4:DU4"/>
    <mergeCell ref="DV4:DZ4"/>
    <mergeCell ref="EA4:EE4"/>
    <mergeCell ref="EF4:EJ4"/>
  </mergeCells>
  <conditionalFormatting sqref="B7:B51">
    <cfRule type="dataBar" priority="10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F5:EJ51">
    <cfRule type="expression" dxfId="2" priority="78">
      <formula>AND(today&gt;=F$5,today&lt;F$5+1)</formula>
    </cfRule>
  </conditionalFormatting>
  <conditionalFormatting sqref="F7:EJ51">
    <cfRule type="expression" dxfId="1" priority="76">
      <formula>AND(task_start&lt;=F$5,ROUNDDOWN((task_end-task_start+1)*task_progress,0)+task_start-1&gt;=F$5)</formula>
    </cfRule>
    <cfRule type="expression" dxfId="0" priority="77" stopIfTrue="1">
      <formula>AND(task_end&gt;=F$5,task_start&lt;F$5+1)</formula>
    </cfRule>
  </conditionalFormatting>
  <dataValidations count="1">
    <dataValidation type="whole" operator="greaterThanOrEqual" allowBlank="1" showInputMessage="1" promptTitle="Display Week" prompt="Changing this number will scroll the Gantt Chart view." sqref="C4" xr:uid="{00000000-0002-0000-0000-000000000000}">
      <formula1>1</formula1>
    </dataValidation>
  </dataValidations>
  <pageMargins left="0.35" right="0.35" top="0.35" bottom="0.5" header="0.3" footer="0.3"/>
  <pageSetup scale="59" fitToHeight="0" orientation="landscape" r:id="rId1"/>
  <headerFooter scaleWithDoc="0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B7:B51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991f74-233a-4c46-9c55-a176f0e8ba44">
      <Terms xmlns="http://schemas.microsoft.com/office/infopath/2007/PartnerControls"/>
    </lcf76f155ced4ddcb4097134ff3c332f>
    <TaxCatchAll xmlns="4de74af2-d2a7-4bc3-a319-420167317553" xsi:nil="true"/>
    <ArchiverLinkFileType xmlns="c0991f74-233a-4c46-9c55-a176f0e8ba4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A15E957932D6F4AB4FD28F85AF4FFD8" ma:contentTypeVersion="14" ma:contentTypeDescription="Ein neues Dokument erstellen." ma:contentTypeScope="" ma:versionID="e040dc8dbf4a4132031beaaf90e02bdd">
  <xsd:schema xmlns:xsd="http://www.w3.org/2001/XMLSchema" xmlns:xs="http://www.w3.org/2001/XMLSchema" xmlns:p="http://schemas.microsoft.com/office/2006/metadata/properties" xmlns:ns2="c0991f74-233a-4c46-9c55-a176f0e8ba44" xmlns:ns3="4de74af2-d2a7-4bc3-a319-420167317553" targetNamespace="http://schemas.microsoft.com/office/2006/metadata/properties" ma:root="true" ma:fieldsID="63fe477e893c7cf9e00d7d25e31408c1" ns2:_="" ns3:_="">
    <xsd:import namespace="c0991f74-233a-4c46-9c55-a176f0e8ba44"/>
    <xsd:import namespace="4de74af2-d2a7-4bc3-a319-4201673175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91f74-233a-4c46-9c55-a176f0e8ba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376f9c2e-507d-4bd0-80ef-8b8c2c80cd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rLinkFileType" ma:index="21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74af2-d2a7-4bc3-a319-42016731755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67cf1-acde-4790-9061-d36553066a76}" ma:internalName="TaxCatchAll" ma:showField="CatchAllData" ma:web="4de74af2-d2a7-4bc3-a319-4201673175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55973B-932A-49AB-8E06-2194D370EAAD}">
  <ds:schemaRefs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cbc6e432-4fdf-4d0a-af96-73f0305e9113"/>
    <ds:schemaRef ds:uri="http://schemas.openxmlformats.org/package/2006/metadata/core-properties"/>
    <ds:schemaRef ds:uri="7f8b736b-2022-4984-955a-6d0052aabbaa"/>
    <ds:schemaRef ds:uri="c0991f74-233a-4c46-9c55-a176f0e8ba44"/>
    <ds:schemaRef ds:uri="4de74af2-d2a7-4bc3-a319-420167317553"/>
  </ds:schemaRefs>
</ds:datastoreItem>
</file>

<file path=customXml/itemProps2.xml><?xml version="1.0" encoding="utf-8"?>
<ds:datastoreItem xmlns:ds="http://schemas.openxmlformats.org/officeDocument/2006/customXml" ds:itemID="{DD3954B9-FDC7-4B0B-ACB3-294FA68DFB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991f74-233a-4c46-9c55-a176f0e8ba44"/>
    <ds:schemaRef ds:uri="4de74af2-d2a7-4bc3-a319-4201673175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333DAD-F224-46EA-ABA3-4104C3E9DF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ProjectSchedule</vt:lpstr>
      <vt:lpstr>ProjectSchedule!Print_Area</vt:lpstr>
      <vt:lpstr>ProjectSchedule!Print_Titles</vt:lpstr>
      <vt:lpstr>ProjectSchedule!task_end</vt:lpstr>
      <vt:lpstr>ProjectSchedule!task_progress</vt:lpstr>
      <vt:lpstr>ProjectSchedule!task_start</vt:lpstr>
      <vt:lpstr>ProjectSchedule!today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Simple Gantt Chart</dc:title>
  <dc:subject/>
  <dc:creator>Vertex42.com</dc:creator>
  <cp:keywords/>
  <dc:description>© 2018-2019 Vertex42 LLC. All Rights Reserved.</dc:description>
  <cp:lastModifiedBy>Indrajaya, Muhammad Rafi Afif</cp:lastModifiedBy>
  <cp:revision/>
  <dcterms:created xsi:type="dcterms:W3CDTF">2017-01-09T18:01:51Z</dcterms:created>
  <dcterms:modified xsi:type="dcterms:W3CDTF">2026-07-08T15:12:07Z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https://www.vertex42.com/</vt:lpwstr>
  </property>
  <property fmtid="{D5CDD505-2E9C-101B-9397-08002B2CF9AE}" pid="3" name="Copyright">
    <vt:lpwstr>© 2019 Vertex42 LLC</vt:lpwstr>
  </property>
  <property fmtid="{D5CDD505-2E9C-101B-9397-08002B2CF9AE}" pid="4" name="Version">
    <vt:lpwstr>1.0.1</vt:lpwstr>
  </property>
  <property fmtid="{D5CDD505-2E9C-101B-9397-08002B2CF9AE}" pid="5" name="ContentTypeId">
    <vt:lpwstr>0x0101003A15E957932D6F4AB4FD28F85AF4FFD8</vt:lpwstr>
  </property>
  <property fmtid="{D5CDD505-2E9C-101B-9397-08002B2CF9AE}" pid="6" name="MediaServiceImageTags">
    <vt:lpwstr/>
  </property>
</Properties>
</file>